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251\업무공용\경리업무\매일쓰는자료\1단가표\"/>
    </mc:Choice>
  </mc:AlternateContent>
  <xr:revisionPtr revIDLastSave="0" documentId="13_ncr:1_{2D4404B2-BED5-4E89-A5EA-3FDAAD5502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definedNames>
    <definedName name="_xlnm.Print_Area" localSheetId="0">Products!$A$1:$H$134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7" i="1" l="1"/>
  <c r="E102" i="1"/>
  <c r="E101" i="1"/>
  <c r="E89" i="1"/>
  <c r="E87" i="1"/>
  <c r="E80" i="1" l="1"/>
  <c r="E65" i="1"/>
  <c r="E16" i="1"/>
  <c r="E120" i="1" l="1"/>
  <c r="E119" i="1"/>
  <c r="E118" i="1"/>
  <c r="E117" i="1"/>
  <c r="E22" i="1" l="1"/>
  <c r="E98" i="1" l="1"/>
  <c r="E97" i="1"/>
  <c r="E96" i="1"/>
  <c r="E95" i="1"/>
  <c r="E91" i="1"/>
  <c r="E121" i="1" l="1"/>
  <c r="E124" i="1" l="1"/>
  <c r="E23" i="1" l="1"/>
  <c r="E122" i="1" l="1"/>
  <c r="E123" i="1"/>
  <c r="E125" i="1"/>
  <c r="E27" i="1"/>
  <c r="E25" i="1"/>
  <c r="E24" i="1"/>
  <c r="E21" i="1" l="1"/>
  <c r="E30" i="1" l="1"/>
  <c r="E31" i="1"/>
  <c r="E20" i="1"/>
  <c r="E19" i="1"/>
  <c r="E100" i="1" l="1"/>
  <c r="E103" i="1"/>
  <c r="E14" i="1"/>
  <c r="E15" i="1"/>
  <c r="E3" i="1"/>
  <c r="E4" i="1"/>
  <c r="E5" i="1"/>
  <c r="E6" i="1"/>
  <c r="E7" i="1"/>
  <c r="E8" i="1"/>
  <c r="E9" i="1"/>
  <c r="E10" i="1"/>
  <c r="E11" i="1"/>
  <c r="E12" i="1"/>
  <c r="E13" i="1"/>
  <c r="E26" i="1" l="1"/>
  <c r="E29" i="1" l="1"/>
  <c r="E17" i="1" l="1"/>
  <c r="E18" i="1"/>
  <c r="E28" i="1"/>
  <c r="E32" i="1"/>
  <c r="E33" i="1"/>
  <c r="E34" i="1"/>
  <c r="E35" i="1"/>
  <c r="E38" i="1"/>
  <c r="E39" i="1"/>
  <c r="E40" i="1"/>
  <c r="E41" i="1"/>
  <c r="E42" i="1"/>
  <c r="E64" i="1"/>
  <c r="E68" i="1"/>
  <c r="E99" i="1"/>
  <c r="E104" i="1"/>
  <c r="E105" i="1"/>
  <c r="E106" i="1"/>
  <c r="E108" i="1"/>
  <c r="E109" i="1"/>
  <c r="E110" i="1"/>
  <c r="E111" i="1"/>
  <c r="E112" i="1"/>
  <c r="E86" i="1" l="1"/>
  <c r="E93" i="1"/>
  <c r="E85" i="1"/>
  <c r="E88" i="1"/>
  <c r="E83" i="1"/>
  <c r="E94" i="1"/>
  <c r="E92" i="1"/>
  <c r="E90" i="1"/>
  <c r="E79" i="1" l="1"/>
  <c r="E81" i="1"/>
  <c r="E82" i="1"/>
  <c r="E84" i="1"/>
</calcChain>
</file>

<file path=xl/sharedStrings.xml><?xml version="1.0" encoding="utf-8"?>
<sst xmlns="http://schemas.openxmlformats.org/spreadsheetml/2006/main" count="498" uniqueCount="201">
  <si>
    <t>Model</t>
  </si>
  <si>
    <t>MailPlus 5 Virtual Licenses</t>
  </si>
  <si>
    <t>MailPlus 20 Virtual Licenses</t>
  </si>
  <si>
    <t>Virtual DSM License</t>
  </si>
  <si>
    <t>VMMPRO-3NODE-S1Y</t>
  </si>
  <si>
    <t>VMMPRO-7NODE-S1Y</t>
  </si>
  <si>
    <t>VMMPRO-3NODE-S3Y</t>
  </si>
  <si>
    <t>VMMPRO-7NODE-S3Y</t>
  </si>
  <si>
    <t>C2-BACKUP500G-1Y-APAC-VIRTUAL</t>
  </si>
  <si>
    <t>DS620slim</t>
  </si>
  <si>
    <t>DS2422+</t>
  </si>
  <si>
    <t>DS3622xs+</t>
  </si>
  <si>
    <t>RS422+</t>
  </si>
  <si>
    <t>RS822+</t>
  </si>
  <si>
    <t>RS822RP+</t>
  </si>
  <si>
    <t>RS1221+</t>
  </si>
  <si>
    <t>RS1221RP+</t>
  </si>
  <si>
    <t>RS3618xs</t>
  </si>
  <si>
    <t>FS2500</t>
  </si>
  <si>
    <t>HD6500</t>
  </si>
  <si>
    <t>UC3200</t>
  </si>
  <si>
    <t>DX1215II</t>
  </si>
  <si>
    <t>DX1222</t>
  </si>
  <si>
    <t>RX418</t>
  </si>
  <si>
    <t>RX1217</t>
  </si>
  <si>
    <t>RX1217RP</t>
  </si>
  <si>
    <t>RX1223RP</t>
  </si>
  <si>
    <t>RXD1219sas</t>
  </si>
  <si>
    <t>FX2421</t>
  </si>
  <si>
    <t>DVA1622</t>
  </si>
  <si>
    <t>VIRTUAL DEVICE LICENSE PACK (X 4)</t>
  </si>
  <si>
    <t>RT6600ax</t>
  </si>
  <si>
    <t>MR2200ac</t>
  </si>
  <si>
    <t>D4EC-2666-16G</t>
  </si>
  <si>
    <t>D4NE-2666-4G</t>
  </si>
  <si>
    <t>D4ER01-16G</t>
  </si>
  <si>
    <t>D4ER01-64G</t>
  </si>
  <si>
    <t>D4ES01-8G</t>
  </si>
  <si>
    <t>D4ES02-4G</t>
  </si>
  <si>
    <t>RKM114</t>
  </si>
  <si>
    <t>RKS-01</t>
  </si>
  <si>
    <t>RKS-02</t>
  </si>
  <si>
    <t>M2D18 Adapter Card</t>
  </si>
  <si>
    <t>M2D20 Adapter Card</t>
  </si>
  <si>
    <t>E10G18-T1</t>
  </si>
  <si>
    <t>E10G22-T1-Mini</t>
  </si>
  <si>
    <t>E10M20-T1</t>
  </si>
  <si>
    <t>SNV3410-400G</t>
  </si>
  <si>
    <t>HAT5300-12T</t>
  </si>
  <si>
    <t>분류</t>
    <phoneticPr fontId="2" type="noConversion"/>
  </si>
  <si>
    <t>특징</t>
    <phoneticPr fontId="2" type="noConversion"/>
  </si>
  <si>
    <t>Surveillance</t>
    <phoneticPr fontId="2" type="noConversion"/>
  </si>
  <si>
    <t>Unified Controller</t>
  </si>
  <si>
    <t>Rail Kits</t>
    <phoneticPr fontId="2" type="noConversion"/>
  </si>
  <si>
    <t>Synology SSD</t>
    <phoneticPr fontId="2" type="noConversion"/>
  </si>
  <si>
    <r>
      <t>2bay</t>
    </r>
    <r>
      <rPr>
        <sz val="11"/>
        <color rgb="FF000000"/>
        <rFont val="Calibri"/>
        <family val="2"/>
      </rPr>
      <t/>
    </r>
  </si>
  <si>
    <t>2bay</t>
    <phoneticPr fontId="2" type="noConversion"/>
  </si>
  <si>
    <t>6bay</t>
    <phoneticPr fontId="2" type="noConversion"/>
  </si>
  <si>
    <t>4bay</t>
    <phoneticPr fontId="2" type="noConversion"/>
  </si>
  <si>
    <t>5bay</t>
    <phoneticPr fontId="2" type="noConversion"/>
  </si>
  <si>
    <t>8bay</t>
    <phoneticPr fontId="2" type="noConversion"/>
  </si>
  <si>
    <t>12bay</t>
    <phoneticPr fontId="2" type="noConversion"/>
  </si>
  <si>
    <t>16bay</t>
    <phoneticPr fontId="2" type="noConversion"/>
  </si>
  <si>
    <t>24bay</t>
    <phoneticPr fontId="2" type="noConversion"/>
  </si>
  <si>
    <t>60bay</t>
    <phoneticPr fontId="2" type="noConversion"/>
  </si>
  <si>
    <t>타워형</t>
    <phoneticPr fontId="2" type="noConversion"/>
  </si>
  <si>
    <t>비고</t>
    <phoneticPr fontId="2" type="noConversion"/>
  </si>
  <si>
    <t>오프라인 견적</t>
  </si>
  <si>
    <t>온라인 및 옵션 등록 불가</t>
  </si>
  <si>
    <t>VMMPRO-3NODE-S5Y</t>
  </si>
  <si>
    <t>VMMPRO-7NODE-S5Y</t>
  </si>
  <si>
    <t>DS223</t>
  </si>
  <si>
    <t>DS1823xs+</t>
  </si>
  <si>
    <t>WRX560</t>
  </si>
  <si>
    <t>NVMe SSD</t>
    <phoneticPr fontId="2" type="noConversion"/>
  </si>
  <si>
    <t>EW201 VIRTUAL</t>
  </si>
  <si>
    <t>불렛형</t>
    <phoneticPr fontId="2" type="noConversion"/>
  </si>
  <si>
    <t>터렛형</t>
    <phoneticPr fontId="2" type="noConversion"/>
  </si>
  <si>
    <t>2TB</t>
    <phoneticPr fontId="2" type="noConversion"/>
  </si>
  <si>
    <t>BDS70-2T</t>
  </si>
  <si>
    <t>DS223j</t>
  </si>
  <si>
    <t>Warranty
(연장 보증)</t>
    <phoneticPr fontId="2" type="noConversion"/>
  </si>
  <si>
    <t>IP카메라</t>
    <phoneticPr fontId="2" type="noConversion"/>
  </si>
  <si>
    <t>1bay</t>
    <phoneticPr fontId="2" type="noConversion"/>
  </si>
  <si>
    <t>Enterprise
(기업용 타워형)</t>
    <phoneticPr fontId="2" type="noConversion"/>
  </si>
  <si>
    <t>온라인 및 옵션 등록 불가</t>
    <phoneticPr fontId="2" type="noConversion"/>
  </si>
  <si>
    <t>확장베이 타워형</t>
    <phoneticPr fontId="2" type="noConversion"/>
  </si>
  <si>
    <t>라우터(공유기)</t>
    <phoneticPr fontId="2" type="noConversion"/>
  </si>
  <si>
    <t>Add-in Cards
(PCI 인터페이스 카드)</t>
    <phoneticPr fontId="2" type="noConversion"/>
  </si>
  <si>
    <t>2,5형SSD</t>
    <phoneticPr fontId="2" type="noConversion"/>
  </si>
  <si>
    <t>3.5형 SATA</t>
    <phoneticPr fontId="2" type="noConversion"/>
  </si>
  <si>
    <t>RS2423+</t>
  </si>
  <si>
    <t>EW202 VIRTUAL</t>
  </si>
  <si>
    <t>VS600HD</t>
  </si>
  <si>
    <t>E10G30-T2</t>
  </si>
  <si>
    <t>HAT3300-4T</t>
  </si>
  <si>
    <t>HAT3300-6T</t>
  </si>
  <si>
    <t>HAT3310-16T</t>
  </si>
  <si>
    <t>DS124</t>
  </si>
  <si>
    <t>DS423</t>
  </si>
  <si>
    <t>HAT3310-12T</t>
  </si>
  <si>
    <t>DiskStation</t>
    <phoneticPr fontId="2" type="noConversion"/>
  </si>
  <si>
    <t>12bay</t>
  </si>
  <si>
    <t>UC3400</t>
  </si>
  <si>
    <t>D4EC-2666-8G</t>
  </si>
  <si>
    <t>E10G30-F2</t>
  </si>
  <si>
    <t>E25G30-F2</t>
  </si>
  <si>
    <t>이메일 수신 방식</t>
    <phoneticPr fontId="2" type="noConversion"/>
  </si>
  <si>
    <t>별도 문의</t>
  </si>
  <si>
    <t>DP320</t>
  </si>
  <si>
    <t>DP340</t>
  </si>
  <si>
    <t>DP7400</t>
  </si>
  <si>
    <t>영업권 보호 제품
* 프로젝트 부킹 후
  제안 가능</t>
    <phoneticPr fontId="2" type="noConversion"/>
  </si>
  <si>
    <t>영업권 보호 제품
  * 프로젝트 부킹 후
  제안 가능</t>
    <phoneticPr fontId="2" type="noConversion"/>
  </si>
  <si>
    <t>영업권 보호 제품
  * 프로젝트 부킹 후
  제안 가능</t>
    <phoneticPr fontId="2" type="noConversion"/>
  </si>
  <si>
    <t>영업권 보호 제품
* 프로젝트 부킹 후
  제안 가능</t>
    <phoneticPr fontId="2" type="noConversion"/>
  </si>
  <si>
    <t>신제품 / 온라인 및 옵션 등록 불가</t>
    <phoneticPr fontId="2" type="noConversion"/>
  </si>
  <si>
    <t>Enterprise
(기업용 랙타입)
(레일킷 별도)</t>
    <phoneticPr fontId="2" type="noConversion"/>
  </si>
  <si>
    <t>RackStation
(랙타입)
(레일킷 별도)</t>
    <phoneticPr fontId="2" type="noConversion"/>
  </si>
  <si>
    <t>확장베이 랙타입
(레일킷 별도)</t>
    <phoneticPr fontId="2" type="noConversion"/>
  </si>
  <si>
    <t>Memory(RAM)</t>
    <phoneticPr fontId="2" type="noConversion"/>
  </si>
  <si>
    <t>ActiveProtect 어플라이언스
DP 시리즈</t>
    <phoneticPr fontId="2" type="noConversion"/>
  </si>
  <si>
    <t>D4ER02-32G</t>
  </si>
  <si>
    <t>D4ES03-8G</t>
  </si>
  <si>
    <t>D4ES03-16G</t>
  </si>
  <si>
    <t>D4ES04-4G</t>
  </si>
  <si>
    <t>D4EU02-8G</t>
  </si>
  <si>
    <t>D4EU02-16G</t>
  </si>
  <si>
    <t>SNV5420-400G</t>
  </si>
  <si>
    <t>SNV5420-800G</t>
  </si>
  <si>
    <t>SNV5420-1600G</t>
  </si>
  <si>
    <t>D4NS01-4G</t>
  </si>
  <si>
    <t>SAT5221-960G</t>
  </si>
  <si>
    <t>SAT5221-1920G</t>
  </si>
  <si>
    <t>4TB</t>
  </si>
  <si>
    <t>8TB</t>
    <phoneticPr fontId="2" type="noConversion"/>
  </si>
  <si>
    <t>APM-5NODES-1Y-VIRTUAL</t>
  </si>
  <si>
    <t>RT2600ac</t>
  </si>
  <si>
    <t>HAT3320-8T</t>
  </si>
  <si>
    <t>2bay</t>
  </si>
  <si>
    <t>4bay</t>
  </si>
  <si>
    <t>DP7200</t>
  </si>
  <si>
    <t>BeeStation(일체형)</t>
    <phoneticPr fontId="2" type="noConversion"/>
  </si>
  <si>
    <t>소비자 노출가
(VAT포함)</t>
    <phoneticPr fontId="2" type="noConversion"/>
  </si>
  <si>
    <t>파트너사 공급가
(VAT포함)</t>
    <phoneticPr fontId="2" type="noConversion"/>
  </si>
  <si>
    <t>파트너사 공급가
(VAT별도)</t>
    <phoneticPr fontId="2" type="noConversion"/>
  </si>
  <si>
    <t>HAT5320-24T</t>
  </si>
  <si>
    <t>VIRTUAL DEVICE LICENSE PACK (X 1)</t>
  </si>
  <si>
    <t>VIRTUAL DEVICE LICENSE PACK (X 8)</t>
  </si>
  <si>
    <t>BC500</t>
  </si>
  <si>
    <t>TC500</t>
  </si>
  <si>
    <t>BST170-8T</t>
  </si>
  <si>
    <t>DS225+</t>
  </si>
  <si>
    <t>DS725+</t>
  </si>
  <si>
    <t>DS425+</t>
  </si>
  <si>
    <t>DS925+</t>
  </si>
  <si>
    <t>DS1525+</t>
  </si>
  <si>
    <t>DS1825+</t>
  </si>
  <si>
    <t>RS2825RP+</t>
  </si>
  <si>
    <t>SA3200D</t>
  </si>
  <si>
    <t>SA3400D</t>
  </si>
  <si>
    <t>DX517</t>
  </si>
  <si>
    <t>DX525</t>
  </si>
  <si>
    <t>RX1222sas</t>
  </si>
  <si>
    <t>RX6025sas</t>
  </si>
  <si>
    <t>SAT5221-3840G</t>
  </si>
  <si>
    <t>SAT5210-7000G</t>
  </si>
  <si>
    <t>HAT5320-4T</t>
  </si>
  <si>
    <t>HAT5320-8T</t>
  </si>
  <si>
    <t>HAT5310-20T</t>
  </si>
  <si>
    <t>RX1225RP</t>
  </si>
  <si>
    <t>2년</t>
    <phoneticPr fontId="2" type="noConversion"/>
  </si>
  <si>
    <t>인상</t>
    <phoneticPr fontId="2" type="noConversion"/>
  </si>
  <si>
    <t>HAS5310-12T</t>
  </si>
  <si>
    <t>HAS5310-20T</t>
  </si>
  <si>
    <t>HAS5320-24T</t>
  </si>
  <si>
    <t>HAT5310-16T</t>
  </si>
  <si>
    <t>시놀로지 공급가 260406</t>
    <phoneticPr fontId="2" type="noConversion"/>
  </si>
  <si>
    <t>LICENSE
(라이선스)</t>
    <phoneticPr fontId="2" type="noConversion"/>
  </si>
  <si>
    <t>Synology HDD
(ENT용)</t>
    <phoneticPr fontId="2" type="noConversion"/>
  </si>
  <si>
    <t>Synology HDD
(NAS용)</t>
    <phoneticPr fontId="2" type="noConversion"/>
  </si>
  <si>
    <t>BeeDrive(외장SSD)</t>
    <phoneticPr fontId="2" type="noConversion"/>
  </si>
  <si>
    <r>
      <t>BST151-4T</t>
    </r>
    <r>
      <rPr>
        <b/>
        <sz val="10"/>
        <color rgb="FFFF0000"/>
        <rFont val="맑은 고딕"/>
        <family val="3"/>
        <charset val="129"/>
        <scheme val="major"/>
      </rPr>
      <t xml:space="preserve"> → BST150-4T 후속</t>
    </r>
    <phoneticPr fontId="2" type="noConversion"/>
  </si>
  <si>
    <t>D4ER02-16G</t>
  </si>
  <si>
    <t>D4ER03-32G</t>
  </si>
  <si>
    <t>E10G30-T1</t>
  </si>
  <si>
    <t>RKS-03</t>
  </si>
  <si>
    <t>RKS-04</t>
  </si>
  <si>
    <t>신규</t>
    <phoneticPr fontId="2" type="noConversion"/>
  </si>
  <si>
    <r>
      <t>RS1626xs+</t>
    </r>
    <r>
      <rPr>
        <b/>
        <sz val="10"/>
        <color rgb="FFFF0000"/>
        <rFont val="맑은 고딕"/>
        <family val="3"/>
        <charset val="129"/>
        <scheme val="major"/>
      </rPr>
      <t xml:space="preserve"> → RS1619xs+ 후속</t>
    </r>
    <phoneticPr fontId="2" type="noConversion"/>
  </si>
  <si>
    <t>신규</t>
    <phoneticPr fontId="2" type="noConversion"/>
  </si>
  <si>
    <r>
      <t>RS2423RP+II</t>
    </r>
    <r>
      <rPr>
        <b/>
        <sz val="10"/>
        <color rgb="FFFF0000"/>
        <rFont val="맑은 고딕"/>
        <family val="3"/>
        <charset val="129"/>
        <scheme val="major"/>
      </rPr>
      <t xml:space="preserve"> → RS2423RP+ 후속</t>
    </r>
    <phoneticPr fontId="2" type="noConversion"/>
  </si>
  <si>
    <r>
      <t>FS3420</t>
    </r>
    <r>
      <rPr>
        <b/>
        <sz val="10"/>
        <color rgb="FFFF0000"/>
        <rFont val="맑은 고딕"/>
        <family val="3"/>
        <charset val="129"/>
        <scheme val="major"/>
      </rPr>
      <t xml:space="preserve"> → FS3410 후속</t>
    </r>
    <phoneticPr fontId="2" type="noConversion"/>
  </si>
  <si>
    <t>3.5형 SAS</t>
    <phoneticPr fontId="2" type="noConversion"/>
  </si>
  <si>
    <r>
      <t>RS3626xs+</t>
    </r>
    <r>
      <rPr>
        <b/>
        <sz val="10"/>
        <color rgb="FFFF0000"/>
        <rFont val="맑은 고딕"/>
        <family val="3"/>
        <charset val="129"/>
        <scheme val="major"/>
      </rPr>
      <t xml:space="preserve"> → RS3621RPxs 후속</t>
    </r>
    <phoneticPr fontId="2" type="noConversion"/>
  </si>
  <si>
    <r>
      <t>RS4826xs+</t>
    </r>
    <r>
      <rPr>
        <b/>
        <sz val="10"/>
        <color rgb="FFFF0000"/>
        <rFont val="맑은 고딕"/>
        <family val="3"/>
        <charset val="129"/>
        <scheme val="major"/>
      </rPr>
      <t xml:space="preserve"> → RS3621xs+ 후속</t>
    </r>
    <phoneticPr fontId="2" type="noConversion"/>
  </si>
  <si>
    <r>
      <t>RS6426xs+</t>
    </r>
    <r>
      <rPr>
        <b/>
        <sz val="10"/>
        <color rgb="FFFF0000"/>
        <rFont val="맑은 고딕"/>
        <family val="3"/>
        <charset val="129"/>
        <scheme val="major"/>
      </rPr>
      <t xml:space="preserve"> → RS4021xs+ 후속</t>
    </r>
    <phoneticPr fontId="2" type="noConversion"/>
  </si>
  <si>
    <r>
      <t>FS6420</t>
    </r>
    <r>
      <rPr>
        <b/>
        <sz val="10"/>
        <color rgb="FFFF0000"/>
        <rFont val="맑은 고딕"/>
        <family val="3"/>
        <charset val="129"/>
        <scheme val="major"/>
      </rPr>
      <t xml:space="preserve"> → FS6400 후속</t>
    </r>
    <phoneticPr fontId="2" type="noConversion"/>
  </si>
  <si>
    <t>20bay</t>
    <phoneticPr fontId="2" type="noConversion"/>
  </si>
  <si>
    <r>
      <t>RS11626xs+</t>
    </r>
    <r>
      <rPr>
        <b/>
        <sz val="10"/>
        <color rgb="FFFF0000"/>
        <rFont val="맑은 고딕"/>
        <family val="3"/>
        <charset val="129"/>
        <scheme val="major"/>
      </rPr>
      <t xml:space="preserve"> → SA3410, SA3610, SA6400 후속</t>
    </r>
    <phoneticPr fontId="2" type="noConversion"/>
  </si>
  <si>
    <t>3.5형 SATA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</si>
</sst>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_-* #,##0_-;\-* #,##0_-;_-* &quot;-&quot;??_-;_-@_-"/>
  </numFmts>
  <fonts count="11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30"/>
      <color theme="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65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42" fontId="3" fillId="0" borderId="0" xfId="2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41" fontId="5" fillId="4" borderId="1" xfId="2" applyNumberFormat="1" applyFont="1" applyFill="1" applyBorder="1" applyAlignment="1">
      <alignment horizontal="center" vertical="center"/>
    </xf>
    <xf numFmtId="41" fontId="3" fillId="0" borderId="1" xfId="2" applyNumberFormat="1" applyFont="1" applyBorder="1" applyAlignment="1">
      <alignment horizontal="right" vertical="center"/>
    </xf>
    <xf numFmtId="41" fontId="8" fillId="3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41" fontId="8" fillId="4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5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2" fontId="5" fillId="4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1" fontId="3" fillId="0" borderId="1" xfId="2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41" fontId="5" fillId="5" borderId="1" xfId="2" applyNumberFormat="1" applyFont="1" applyFill="1" applyBorder="1" applyAlignment="1">
      <alignment horizontal="center" vertical="center"/>
    </xf>
    <xf numFmtId="41" fontId="3" fillId="5" borderId="1" xfId="2" applyNumberFormat="1" applyFont="1" applyFill="1" applyBorder="1" applyAlignment="1">
      <alignment horizontal="right" vertical="center"/>
    </xf>
    <xf numFmtId="41" fontId="8" fillId="5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41" fontId="5" fillId="3" borderId="1" xfId="2" applyNumberFormat="1" applyFont="1" applyFill="1" applyBorder="1" applyAlignment="1">
      <alignment horizontal="center" vertical="center"/>
    </xf>
    <xf numFmtId="41" fontId="3" fillId="3" borderId="1" xfId="2" applyNumberFormat="1" applyFont="1" applyFill="1" applyBorder="1" applyAlignment="1">
      <alignment horizontal="right" vertical="center"/>
    </xf>
    <xf numFmtId="41" fontId="4" fillId="0" borderId="5" xfId="2" applyNumberFormat="1" applyFont="1" applyBorder="1" applyAlignment="1">
      <alignment horizontal="center" vertical="center" wrapText="1"/>
    </xf>
    <xf numFmtId="41" fontId="4" fillId="0" borderId="6" xfId="2" applyNumberFormat="1" applyFont="1" applyBorder="1" applyAlignment="1">
      <alignment horizontal="center" vertical="center" wrapText="1"/>
    </xf>
    <xf numFmtId="41" fontId="4" fillId="0" borderId="7" xfId="2" applyNumberFormat="1" applyFont="1" applyBorder="1" applyAlignment="1">
      <alignment horizontal="center" vertical="center" wrapText="1"/>
    </xf>
    <xf numFmtId="41" fontId="4" fillId="0" borderId="8" xfId="2" applyNumberFormat="1" applyFont="1" applyBorder="1" applyAlignment="1">
      <alignment horizontal="center" vertical="center" wrapText="1"/>
    </xf>
    <xf numFmtId="41" fontId="4" fillId="0" borderId="9" xfId="2" applyNumberFormat="1" applyFont="1" applyBorder="1" applyAlignment="1">
      <alignment horizontal="center" vertical="center" wrapText="1"/>
    </xf>
    <xf numFmtId="41" fontId="4" fillId="0" borderId="10" xfId="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41" fontId="4" fillId="0" borderId="1" xfId="2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1" fontId="4" fillId="0" borderId="5" xfId="1" applyNumberFormat="1" applyFont="1" applyFill="1" applyBorder="1" applyAlignment="1">
      <alignment horizontal="center" vertical="center" wrapText="1"/>
    </xf>
    <xf numFmtId="41" fontId="4" fillId="0" borderId="6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1" fontId="9" fillId="3" borderId="1" xfId="2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vertical="center"/>
    </xf>
    <xf numFmtId="0" fontId="8" fillId="3" borderId="0" xfId="0" applyFont="1" applyFill="1" applyAlignment="1">
      <alignment horizontal="center" vertical="center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4"/>
  <sheetViews>
    <sheetView tabSelected="1" view="pageBreakPreview" zoomScaleNormal="100" zoomScaleSheetLayoutView="10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C109" sqref="C109"/>
    </sheetView>
  </sheetViews>
  <sheetFormatPr defaultColWidth="9.140625" defaultRowHeight="18" customHeight="1" x14ac:dyDescent="0.25"/>
  <cols>
    <col min="1" max="1" width="30.7109375" style="6" customWidth="1"/>
    <col min="2" max="2" width="7.7109375" style="1" customWidth="1"/>
    <col min="3" max="3" width="42.42578125" style="6" customWidth="1"/>
    <col min="4" max="4" width="18.7109375" style="2" customWidth="1"/>
    <col min="5" max="5" width="18.7109375" style="7" hidden="1" customWidth="1"/>
    <col min="6" max="6" width="18.7109375" style="2" hidden="1" customWidth="1"/>
    <col min="7" max="7" width="32.7109375" style="6" customWidth="1"/>
    <col min="8" max="8" width="9.140625" style="26"/>
    <col min="9" max="16384" width="9.140625" style="6"/>
  </cols>
  <sheetData>
    <row r="1" spans="1:8" s="3" customFormat="1" ht="50.1" customHeight="1" x14ac:dyDescent="0.25">
      <c r="A1" s="54" t="s">
        <v>177</v>
      </c>
      <c r="B1" s="55"/>
      <c r="C1" s="55"/>
      <c r="D1" s="55"/>
      <c r="E1" s="55"/>
      <c r="F1" s="55"/>
      <c r="G1" s="55"/>
      <c r="H1" s="26"/>
    </row>
    <row r="2" spans="1:8" s="2" customFormat="1" ht="50.1" customHeight="1" x14ac:dyDescent="0.25">
      <c r="A2" s="8" t="s">
        <v>49</v>
      </c>
      <c r="B2" s="8" t="s">
        <v>50</v>
      </c>
      <c r="C2" s="8" t="s">
        <v>0</v>
      </c>
      <c r="D2" s="22" t="s">
        <v>143</v>
      </c>
      <c r="E2" s="23" t="s">
        <v>144</v>
      </c>
      <c r="F2" s="22" t="s">
        <v>145</v>
      </c>
      <c r="G2" s="8" t="s">
        <v>66</v>
      </c>
      <c r="H2" s="26"/>
    </row>
    <row r="3" spans="1:8" ht="18" customHeight="1" x14ac:dyDescent="0.25">
      <c r="A3" s="49" t="s">
        <v>178</v>
      </c>
      <c r="B3" s="12"/>
      <c r="C3" s="4" t="s">
        <v>1</v>
      </c>
      <c r="D3" s="9">
        <v>488000</v>
      </c>
      <c r="E3" s="10">
        <f t="shared" ref="E3:E68" si="0">SUM(F3*1.1)</f>
        <v>327800</v>
      </c>
      <c r="F3" s="11">
        <v>298000</v>
      </c>
      <c r="G3" s="5" t="s">
        <v>107</v>
      </c>
      <c r="H3" s="26" t="s">
        <v>172</v>
      </c>
    </row>
    <row r="4" spans="1:8" ht="18" customHeight="1" x14ac:dyDescent="0.25">
      <c r="A4" s="58"/>
      <c r="B4" s="12"/>
      <c r="C4" s="4" t="s">
        <v>2</v>
      </c>
      <c r="D4" s="9">
        <v>1941000</v>
      </c>
      <c r="E4" s="10">
        <f t="shared" si="0"/>
        <v>1300200</v>
      </c>
      <c r="F4" s="11">
        <v>1182000</v>
      </c>
      <c r="G4" s="5" t="s">
        <v>107</v>
      </c>
      <c r="H4" s="26" t="s">
        <v>172</v>
      </c>
    </row>
    <row r="5" spans="1:8" ht="18" customHeight="1" x14ac:dyDescent="0.25">
      <c r="A5" s="58"/>
      <c r="B5" s="12"/>
      <c r="C5" s="4" t="s">
        <v>3</v>
      </c>
      <c r="D5" s="9">
        <v>289000</v>
      </c>
      <c r="E5" s="10">
        <f t="shared" si="0"/>
        <v>193600.00000000003</v>
      </c>
      <c r="F5" s="11">
        <v>176000</v>
      </c>
      <c r="G5" s="5" t="s">
        <v>107</v>
      </c>
      <c r="H5" s="26" t="s">
        <v>172</v>
      </c>
    </row>
    <row r="6" spans="1:8" ht="18" customHeight="1" x14ac:dyDescent="0.25">
      <c r="A6" s="58"/>
      <c r="B6" s="12"/>
      <c r="C6" s="4" t="s">
        <v>4</v>
      </c>
      <c r="D6" s="9">
        <v>289000</v>
      </c>
      <c r="E6" s="10">
        <f t="shared" si="0"/>
        <v>199100.00000000003</v>
      </c>
      <c r="F6" s="11">
        <v>181000</v>
      </c>
      <c r="G6" s="5" t="s">
        <v>107</v>
      </c>
      <c r="H6" s="26" t="s">
        <v>172</v>
      </c>
    </row>
    <row r="7" spans="1:8" ht="18" customHeight="1" x14ac:dyDescent="0.25">
      <c r="A7" s="58"/>
      <c r="B7" s="12"/>
      <c r="C7" s="4" t="s">
        <v>5</v>
      </c>
      <c r="D7" s="9">
        <v>581000</v>
      </c>
      <c r="E7" s="10">
        <f t="shared" si="0"/>
        <v>399300.00000000006</v>
      </c>
      <c r="F7" s="11">
        <v>363000</v>
      </c>
      <c r="G7" s="5" t="s">
        <v>107</v>
      </c>
      <c r="H7" s="26" t="s">
        <v>172</v>
      </c>
    </row>
    <row r="8" spans="1:8" ht="18" customHeight="1" x14ac:dyDescent="0.25">
      <c r="A8" s="58"/>
      <c r="B8" s="12"/>
      <c r="C8" s="4" t="s">
        <v>6</v>
      </c>
      <c r="D8" s="9">
        <v>776000</v>
      </c>
      <c r="E8" s="10">
        <f t="shared" si="0"/>
        <v>530200</v>
      </c>
      <c r="F8" s="11">
        <v>482000</v>
      </c>
      <c r="G8" s="5" t="s">
        <v>107</v>
      </c>
      <c r="H8" s="26" t="s">
        <v>172</v>
      </c>
    </row>
    <row r="9" spans="1:8" ht="18" customHeight="1" x14ac:dyDescent="0.25">
      <c r="A9" s="58"/>
      <c r="B9" s="12"/>
      <c r="C9" s="4" t="s">
        <v>7</v>
      </c>
      <c r="D9" s="9">
        <v>1552000</v>
      </c>
      <c r="E9" s="10">
        <f t="shared" si="0"/>
        <v>1061500</v>
      </c>
      <c r="F9" s="11">
        <v>965000</v>
      </c>
      <c r="G9" s="5" t="s">
        <v>107</v>
      </c>
      <c r="H9" s="26" t="s">
        <v>172</v>
      </c>
    </row>
    <row r="10" spans="1:8" ht="18" customHeight="1" x14ac:dyDescent="0.25">
      <c r="A10" s="58"/>
      <c r="B10" s="12"/>
      <c r="C10" s="4" t="s">
        <v>69</v>
      </c>
      <c r="D10" s="9">
        <v>1298000</v>
      </c>
      <c r="E10" s="10">
        <f t="shared" si="0"/>
        <v>887700.00000000012</v>
      </c>
      <c r="F10" s="11">
        <v>807000</v>
      </c>
      <c r="G10" s="5" t="s">
        <v>107</v>
      </c>
      <c r="H10" s="26" t="s">
        <v>172</v>
      </c>
    </row>
    <row r="11" spans="1:8" ht="18" customHeight="1" x14ac:dyDescent="0.25">
      <c r="A11" s="58"/>
      <c r="B11" s="12"/>
      <c r="C11" s="4" t="s">
        <v>70</v>
      </c>
      <c r="D11" s="9">
        <v>2599000</v>
      </c>
      <c r="E11" s="10">
        <f t="shared" si="0"/>
        <v>1776500.0000000002</v>
      </c>
      <c r="F11" s="11">
        <v>1615000</v>
      </c>
      <c r="G11" s="5" t="s">
        <v>107</v>
      </c>
      <c r="H11" s="26" t="s">
        <v>172</v>
      </c>
    </row>
    <row r="12" spans="1:8" ht="18" customHeight="1" x14ac:dyDescent="0.25">
      <c r="A12" s="58"/>
      <c r="B12" s="12"/>
      <c r="C12" s="4" t="s">
        <v>8</v>
      </c>
      <c r="D12" s="9">
        <v>72000</v>
      </c>
      <c r="E12" s="10">
        <f t="shared" si="0"/>
        <v>59400.000000000007</v>
      </c>
      <c r="F12" s="11">
        <v>54000</v>
      </c>
      <c r="G12" s="5" t="s">
        <v>107</v>
      </c>
      <c r="H12" s="26" t="s">
        <v>172</v>
      </c>
    </row>
    <row r="13" spans="1:8" ht="18" customHeight="1" x14ac:dyDescent="0.25">
      <c r="A13" s="58"/>
      <c r="B13" s="12"/>
      <c r="C13" s="4" t="s">
        <v>147</v>
      </c>
      <c r="D13" s="9">
        <v>98000</v>
      </c>
      <c r="E13" s="10">
        <f t="shared" si="0"/>
        <v>68200</v>
      </c>
      <c r="F13" s="11">
        <v>62000</v>
      </c>
      <c r="G13" s="5" t="s">
        <v>107</v>
      </c>
      <c r="H13" s="26" t="s">
        <v>172</v>
      </c>
    </row>
    <row r="14" spans="1:8" ht="18" customHeight="1" x14ac:dyDescent="0.25">
      <c r="A14" s="58"/>
      <c r="B14" s="12"/>
      <c r="C14" s="4" t="s">
        <v>30</v>
      </c>
      <c r="D14" s="9">
        <v>390000</v>
      </c>
      <c r="E14" s="10">
        <f t="shared" si="0"/>
        <v>266200</v>
      </c>
      <c r="F14" s="11">
        <v>242000</v>
      </c>
      <c r="G14" s="5" t="s">
        <v>107</v>
      </c>
      <c r="H14" s="26" t="s">
        <v>172</v>
      </c>
    </row>
    <row r="15" spans="1:8" ht="18" customHeight="1" x14ac:dyDescent="0.25">
      <c r="A15" s="58"/>
      <c r="B15" s="12"/>
      <c r="C15" s="4" t="s">
        <v>148</v>
      </c>
      <c r="D15" s="9">
        <v>681000</v>
      </c>
      <c r="E15" s="10">
        <f t="shared" si="0"/>
        <v>466400.00000000006</v>
      </c>
      <c r="F15" s="11">
        <v>424000</v>
      </c>
      <c r="G15" s="5" t="s">
        <v>107</v>
      </c>
      <c r="H15" s="26" t="s">
        <v>172</v>
      </c>
    </row>
    <row r="16" spans="1:8" ht="18" customHeight="1" x14ac:dyDescent="0.25">
      <c r="A16" s="53"/>
      <c r="B16" s="21"/>
      <c r="C16" s="4" t="s">
        <v>136</v>
      </c>
      <c r="D16" s="9">
        <v>6930000</v>
      </c>
      <c r="E16" s="10">
        <f t="shared" si="0"/>
        <v>4715700</v>
      </c>
      <c r="F16" s="11">
        <v>4287000</v>
      </c>
      <c r="G16" s="5" t="s">
        <v>107</v>
      </c>
      <c r="H16" s="26" t="s">
        <v>172</v>
      </c>
    </row>
    <row r="17" spans="1:8" ht="18" customHeight="1" x14ac:dyDescent="0.25">
      <c r="A17" s="47" t="s">
        <v>81</v>
      </c>
      <c r="B17" s="12" t="s">
        <v>171</v>
      </c>
      <c r="C17" s="4" t="s">
        <v>75</v>
      </c>
      <c r="D17" s="9">
        <v>173000</v>
      </c>
      <c r="E17" s="10">
        <f t="shared" si="0"/>
        <v>137500</v>
      </c>
      <c r="F17" s="11">
        <v>125000</v>
      </c>
      <c r="G17" s="5" t="s">
        <v>107</v>
      </c>
      <c r="H17" s="26" t="s">
        <v>172</v>
      </c>
    </row>
    <row r="18" spans="1:8" ht="18" customHeight="1" x14ac:dyDescent="0.25">
      <c r="A18" s="48"/>
      <c r="B18" s="24" t="s">
        <v>171</v>
      </c>
      <c r="C18" s="4" t="s">
        <v>92</v>
      </c>
      <c r="D18" s="9">
        <v>387000</v>
      </c>
      <c r="E18" s="10">
        <f t="shared" si="0"/>
        <v>310200</v>
      </c>
      <c r="F18" s="11">
        <v>282000</v>
      </c>
      <c r="G18" s="5" t="s">
        <v>107</v>
      </c>
      <c r="H18" s="26" t="s">
        <v>172</v>
      </c>
    </row>
    <row r="19" spans="1:8" ht="18" customHeight="1" x14ac:dyDescent="0.25">
      <c r="A19" s="48" t="s">
        <v>82</v>
      </c>
      <c r="B19" s="12" t="s">
        <v>76</v>
      </c>
      <c r="C19" s="13" t="s">
        <v>149</v>
      </c>
      <c r="D19" s="9">
        <v>419000</v>
      </c>
      <c r="E19" s="10">
        <f t="shared" si="0"/>
        <v>341000</v>
      </c>
      <c r="F19" s="11">
        <v>310000</v>
      </c>
      <c r="G19" s="5"/>
      <c r="H19" s="26" t="s">
        <v>172</v>
      </c>
    </row>
    <row r="20" spans="1:8" ht="18" customHeight="1" x14ac:dyDescent="0.25">
      <c r="A20" s="48"/>
      <c r="B20" s="12" t="s">
        <v>77</v>
      </c>
      <c r="C20" s="13" t="s">
        <v>150</v>
      </c>
      <c r="D20" s="9">
        <v>419000</v>
      </c>
      <c r="E20" s="10">
        <f t="shared" si="0"/>
        <v>341000</v>
      </c>
      <c r="F20" s="11">
        <v>310000</v>
      </c>
      <c r="G20" s="5"/>
      <c r="H20" s="26" t="s">
        <v>172</v>
      </c>
    </row>
    <row r="21" spans="1:8" ht="18" customHeight="1" x14ac:dyDescent="0.25">
      <c r="A21" s="28" t="s">
        <v>181</v>
      </c>
      <c r="B21" s="12" t="s">
        <v>78</v>
      </c>
      <c r="C21" s="13" t="s">
        <v>79</v>
      </c>
      <c r="D21" s="9">
        <v>670000</v>
      </c>
      <c r="E21" s="10">
        <f>SUM(F21*1.1)</f>
        <v>543400</v>
      </c>
      <c r="F21" s="11">
        <v>494000</v>
      </c>
      <c r="G21" s="5"/>
      <c r="H21" s="26" t="s">
        <v>172</v>
      </c>
    </row>
    <row r="22" spans="1:8" ht="18" customHeight="1" x14ac:dyDescent="0.25">
      <c r="A22" s="49" t="s">
        <v>142</v>
      </c>
      <c r="B22" s="20" t="s">
        <v>134</v>
      </c>
      <c r="C22" s="13" t="s">
        <v>182</v>
      </c>
      <c r="D22" s="9">
        <v>670000</v>
      </c>
      <c r="E22" s="10">
        <f>SUM(F22*1.1)</f>
        <v>543400</v>
      </c>
      <c r="F22" s="11">
        <v>494000</v>
      </c>
      <c r="G22" s="5"/>
      <c r="H22" s="26" t="s">
        <v>172</v>
      </c>
    </row>
    <row r="23" spans="1:8" ht="17.45" customHeight="1" x14ac:dyDescent="0.25">
      <c r="A23" s="51"/>
      <c r="B23" s="12" t="s">
        <v>135</v>
      </c>
      <c r="C23" s="13" t="s">
        <v>151</v>
      </c>
      <c r="D23" s="9">
        <v>1118000</v>
      </c>
      <c r="E23" s="10">
        <f>SUM(F23*1.1)</f>
        <v>906400.00000000012</v>
      </c>
      <c r="F23" s="11">
        <v>824000</v>
      </c>
      <c r="G23" s="19"/>
      <c r="H23" s="26" t="s">
        <v>172</v>
      </c>
    </row>
    <row r="24" spans="1:8" ht="18" customHeight="1" x14ac:dyDescent="0.25">
      <c r="A24" s="56" t="s">
        <v>101</v>
      </c>
      <c r="B24" s="32" t="s">
        <v>83</v>
      </c>
      <c r="C24" s="33" t="s">
        <v>98</v>
      </c>
      <c r="D24" s="34">
        <v>251000</v>
      </c>
      <c r="E24" s="35">
        <f t="shared" si="0"/>
        <v>207900.00000000003</v>
      </c>
      <c r="F24" s="36">
        <v>189000</v>
      </c>
      <c r="G24" s="17"/>
      <c r="H24" s="26" t="s">
        <v>172</v>
      </c>
    </row>
    <row r="25" spans="1:8" ht="18" customHeight="1" x14ac:dyDescent="0.25">
      <c r="A25" s="56"/>
      <c r="B25" s="37" t="s">
        <v>55</v>
      </c>
      <c r="C25" s="38" t="s">
        <v>80</v>
      </c>
      <c r="D25" s="39">
        <v>328000</v>
      </c>
      <c r="E25" s="40">
        <f t="shared" si="0"/>
        <v>271700</v>
      </c>
      <c r="F25" s="11">
        <v>247000</v>
      </c>
      <c r="G25" s="17"/>
      <c r="H25" s="26" t="s">
        <v>172</v>
      </c>
    </row>
    <row r="26" spans="1:8" ht="18" customHeight="1" x14ac:dyDescent="0.25">
      <c r="A26" s="56"/>
      <c r="B26" s="32" t="s">
        <v>55</v>
      </c>
      <c r="C26" s="33" t="s">
        <v>71</v>
      </c>
      <c r="D26" s="34">
        <v>483000</v>
      </c>
      <c r="E26" s="35">
        <f t="shared" si="0"/>
        <v>400400.00000000006</v>
      </c>
      <c r="F26" s="36">
        <v>364000</v>
      </c>
      <c r="G26" s="17"/>
      <c r="H26" s="26" t="s">
        <v>172</v>
      </c>
    </row>
    <row r="27" spans="1:8" ht="18" customHeight="1" x14ac:dyDescent="0.25">
      <c r="A27" s="56"/>
      <c r="B27" s="37" t="s">
        <v>56</v>
      </c>
      <c r="C27" s="38" t="s">
        <v>152</v>
      </c>
      <c r="D27" s="39">
        <v>581000</v>
      </c>
      <c r="E27" s="40">
        <f t="shared" si="0"/>
        <v>481800.00000000006</v>
      </c>
      <c r="F27" s="11">
        <v>438000</v>
      </c>
      <c r="G27" s="17"/>
      <c r="H27" s="26" t="s">
        <v>172</v>
      </c>
    </row>
    <row r="28" spans="1:8" ht="18" customHeight="1" x14ac:dyDescent="0.25">
      <c r="A28" s="56"/>
      <c r="B28" s="37" t="s">
        <v>56</v>
      </c>
      <c r="C28" s="38" t="s">
        <v>153</v>
      </c>
      <c r="D28" s="39">
        <v>871000</v>
      </c>
      <c r="E28" s="40">
        <f t="shared" si="0"/>
        <v>722700.00000000012</v>
      </c>
      <c r="F28" s="11">
        <v>657000</v>
      </c>
      <c r="G28" s="17"/>
      <c r="H28" s="26" t="s">
        <v>172</v>
      </c>
    </row>
    <row r="29" spans="1:8" ht="18" customHeight="1" x14ac:dyDescent="0.25">
      <c r="A29" s="56"/>
      <c r="B29" s="32" t="s">
        <v>57</v>
      </c>
      <c r="C29" s="33" t="s">
        <v>9</v>
      </c>
      <c r="D29" s="34">
        <v>871000</v>
      </c>
      <c r="E29" s="35">
        <f t="shared" si="0"/>
        <v>722700.00000000012</v>
      </c>
      <c r="F29" s="36">
        <v>657000</v>
      </c>
      <c r="G29" s="17"/>
      <c r="H29" s="26" t="s">
        <v>172</v>
      </c>
    </row>
    <row r="30" spans="1:8" ht="18" customHeight="1" x14ac:dyDescent="0.25">
      <c r="A30" s="56"/>
      <c r="B30" s="32" t="s">
        <v>58</v>
      </c>
      <c r="C30" s="33" t="s">
        <v>99</v>
      </c>
      <c r="D30" s="34">
        <v>678000</v>
      </c>
      <c r="E30" s="35">
        <f t="shared" si="0"/>
        <v>562100</v>
      </c>
      <c r="F30" s="36">
        <v>511000</v>
      </c>
      <c r="G30" s="17"/>
      <c r="H30" s="26" t="s">
        <v>172</v>
      </c>
    </row>
    <row r="31" spans="1:8" ht="18" customHeight="1" x14ac:dyDescent="0.25">
      <c r="A31" s="56"/>
      <c r="B31" s="37" t="s">
        <v>58</v>
      </c>
      <c r="C31" s="38" t="s">
        <v>154</v>
      </c>
      <c r="D31" s="39">
        <v>871000</v>
      </c>
      <c r="E31" s="40">
        <f t="shared" si="0"/>
        <v>722700.00000000012</v>
      </c>
      <c r="F31" s="11">
        <v>657000</v>
      </c>
      <c r="G31" s="17"/>
      <c r="H31" s="26" t="s">
        <v>172</v>
      </c>
    </row>
    <row r="32" spans="1:8" ht="18" customHeight="1" x14ac:dyDescent="0.25">
      <c r="A32" s="56"/>
      <c r="B32" s="37" t="s">
        <v>58</v>
      </c>
      <c r="C32" s="38" t="s">
        <v>155</v>
      </c>
      <c r="D32" s="39">
        <v>1066000</v>
      </c>
      <c r="E32" s="40">
        <f t="shared" si="0"/>
        <v>884400.00000000012</v>
      </c>
      <c r="F32" s="11">
        <v>804000</v>
      </c>
      <c r="G32" s="17"/>
      <c r="H32" s="26" t="s">
        <v>172</v>
      </c>
    </row>
    <row r="33" spans="1:8" ht="18" customHeight="1" x14ac:dyDescent="0.25">
      <c r="A33" s="56"/>
      <c r="B33" s="32" t="s">
        <v>59</v>
      </c>
      <c r="C33" s="33" t="s">
        <v>156</v>
      </c>
      <c r="D33" s="34">
        <v>1357000</v>
      </c>
      <c r="E33" s="35">
        <f t="shared" si="0"/>
        <v>1100000</v>
      </c>
      <c r="F33" s="36">
        <v>1000000</v>
      </c>
      <c r="G33" s="17"/>
      <c r="H33" s="26" t="s">
        <v>172</v>
      </c>
    </row>
    <row r="34" spans="1:8" ht="18" customHeight="1" x14ac:dyDescent="0.25">
      <c r="A34" s="56"/>
      <c r="B34" s="32" t="s">
        <v>60</v>
      </c>
      <c r="C34" s="33" t="s">
        <v>157</v>
      </c>
      <c r="D34" s="34">
        <v>1939000</v>
      </c>
      <c r="E34" s="35">
        <f t="shared" si="0"/>
        <v>1554300.0000000002</v>
      </c>
      <c r="F34" s="36">
        <v>1413000</v>
      </c>
      <c r="G34" s="17"/>
      <c r="H34" s="26" t="s">
        <v>172</v>
      </c>
    </row>
    <row r="35" spans="1:8" ht="18" customHeight="1" x14ac:dyDescent="0.25">
      <c r="A35" s="56"/>
      <c r="B35" s="32" t="s">
        <v>61</v>
      </c>
      <c r="C35" s="33" t="s">
        <v>10</v>
      </c>
      <c r="D35" s="34">
        <v>3492000</v>
      </c>
      <c r="E35" s="35">
        <f t="shared" si="0"/>
        <v>2792900</v>
      </c>
      <c r="F35" s="36">
        <v>2539000</v>
      </c>
      <c r="G35" s="17"/>
      <c r="H35" s="26" t="s">
        <v>172</v>
      </c>
    </row>
    <row r="36" spans="1:8" ht="18" customHeight="1" x14ac:dyDescent="0.25">
      <c r="A36" s="47" t="s">
        <v>84</v>
      </c>
      <c r="B36" s="12" t="s">
        <v>60</v>
      </c>
      <c r="C36" s="13" t="s">
        <v>72</v>
      </c>
      <c r="D36" s="14" t="s">
        <v>67</v>
      </c>
      <c r="E36" s="57" t="s">
        <v>112</v>
      </c>
      <c r="F36" s="57"/>
      <c r="G36" s="5" t="s">
        <v>85</v>
      </c>
      <c r="H36" s="26" t="s">
        <v>172</v>
      </c>
    </row>
    <row r="37" spans="1:8" ht="18" customHeight="1" x14ac:dyDescent="0.25">
      <c r="A37" s="48"/>
      <c r="B37" s="12" t="s">
        <v>61</v>
      </c>
      <c r="C37" s="13" t="s">
        <v>11</v>
      </c>
      <c r="D37" s="14" t="s">
        <v>67</v>
      </c>
      <c r="E37" s="57"/>
      <c r="F37" s="57"/>
      <c r="G37" s="5" t="s">
        <v>85</v>
      </c>
      <c r="H37" s="26" t="s">
        <v>172</v>
      </c>
    </row>
    <row r="38" spans="1:8" ht="18" customHeight="1" x14ac:dyDescent="0.25">
      <c r="A38" s="47" t="s">
        <v>118</v>
      </c>
      <c r="B38" s="12" t="s">
        <v>58</v>
      </c>
      <c r="C38" s="13" t="s">
        <v>12</v>
      </c>
      <c r="D38" s="9">
        <v>1847000</v>
      </c>
      <c r="E38" s="10">
        <f t="shared" si="0"/>
        <v>1259500</v>
      </c>
      <c r="F38" s="11">
        <v>1145000</v>
      </c>
      <c r="G38" s="5"/>
      <c r="H38" s="26" t="s">
        <v>172</v>
      </c>
    </row>
    <row r="39" spans="1:8" ht="18" customHeight="1" x14ac:dyDescent="0.25">
      <c r="A39" s="48"/>
      <c r="B39" s="12" t="s">
        <v>58</v>
      </c>
      <c r="C39" s="13" t="s">
        <v>13</v>
      </c>
      <c r="D39" s="9">
        <v>2309000</v>
      </c>
      <c r="E39" s="10">
        <f t="shared" si="0"/>
        <v>1556500.0000000002</v>
      </c>
      <c r="F39" s="11">
        <v>1415000</v>
      </c>
      <c r="G39" s="5"/>
      <c r="H39" s="26" t="s">
        <v>172</v>
      </c>
    </row>
    <row r="40" spans="1:8" ht="18" customHeight="1" x14ac:dyDescent="0.25">
      <c r="A40" s="48"/>
      <c r="B40" s="12" t="s">
        <v>58</v>
      </c>
      <c r="C40" s="13" t="s">
        <v>14</v>
      </c>
      <c r="D40" s="9">
        <v>3002000</v>
      </c>
      <c r="E40" s="10">
        <f t="shared" si="0"/>
        <v>2022900.0000000002</v>
      </c>
      <c r="F40" s="11">
        <v>1839000</v>
      </c>
      <c r="G40" s="5"/>
      <c r="H40" s="26" t="s">
        <v>172</v>
      </c>
    </row>
    <row r="41" spans="1:8" ht="18" customHeight="1" x14ac:dyDescent="0.25">
      <c r="A41" s="48"/>
      <c r="B41" s="12" t="s">
        <v>60</v>
      </c>
      <c r="C41" s="13" t="s">
        <v>15</v>
      </c>
      <c r="D41" s="9">
        <v>3002000</v>
      </c>
      <c r="E41" s="10">
        <f t="shared" si="0"/>
        <v>2022900.0000000002</v>
      </c>
      <c r="F41" s="11">
        <v>1839000</v>
      </c>
      <c r="G41" s="5"/>
      <c r="H41" s="26" t="s">
        <v>172</v>
      </c>
    </row>
    <row r="42" spans="1:8" ht="18" customHeight="1" x14ac:dyDescent="0.25">
      <c r="A42" s="48"/>
      <c r="B42" s="12" t="s">
        <v>60</v>
      </c>
      <c r="C42" s="13" t="s">
        <v>16</v>
      </c>
      <c r="D42" s="9">
        <v>3926000</v>
      </c>
      <c r="E42" s="10">
        <f t="shared" si="0"/>
        <v>2645500</v>
      </c>
      <c r="F42" s="11">
        <v>2405000</v>
      </c>
      <c r="G42" s="5"/>
      <c r="H42" s="26" t="s">
        <v>172</v>
      </c>
    </row>
    <row r="43" spans="1:8" ht="18" customHeight="1" x14ac:dyDescent="0.25">
      <c r="A43" s="48"/>
      <c r="B43" s="12" t="s">
        <v>61</v>
      </c>
      <c r="C43" s="13" t="s">
        <v>91</v>
      </c>
      <c r="D43" s="14" t="s">
        <v>67</v>
      </c>
      <c r="E43" s="10"/>
      <c r="F43" s="11" t="s">
        <v>108</v>
      </c>
      <c r="G43" s="5" t="s">
        <v>85</v>
      </c>
      <c r="H43" s="26" t="s">
        <v>172</v>
      </c>
    </row>
    <row r="44" spans="1:8" ht="18" customHeight="1" x14ac:dyDescent="0.25">
      <c r="A44" s="48"/>
      <c r="B44" s="27" t="s">
        <v>61</v>
      </c>
      <c r="C44" s="13" t="s">
        <v>191</v>
      </c>
      <c r="D44" s="14" t="s">
        <v>67</v>
      </c>
      <c r="E44" s="10"/>
      <c r="F44" s="11" t="s">
        <v>108</v>
      </c>
      <c r="G44" s="5" t="s">
        <v>85</v>
      </c>
      <c r="H44" s="26" t="s">
        <v>172</v>
      </c>
    </row>
    <row r="45" spans="1:8" ht="18" customHeight="1" x14ac:dyDescent="0.25">
      <c r="A45" s="48"/>
      <c r="B45" s="12" t="s">
        <v>62</v>
      </c>
      <c r="C45" s="4" t="s">
        <v>158</v>
      </c>
      <c r="D45" s="14" t="s">
        <v>67</v>
      </c>
      <c r="E45" s="10"/>
      <c r="F45" s="11" t="s">
        <v>108</v>
      </c>
      <c r="G45" s="5" t="s">
        <v>116</v>
      </c>
      <c r="H45" s="26" t="s">
        <v>172</v>
      </c>
    </row>
    <row r="46" spans="1:8" ht="18" customHeight="1" x14ac:dyDescent="0.25">
      <c r="A46" s="49" t="s">
        <v>117</v>
      </c>
      <c r="B46" s="16" t="s">
        <v>58</v>
      </c>
      <c r="C46" s="13" t="s">
        <v>189</v>
      </c>
      <c r="D46" s="14" t="s">
        <v>67</v>
      </c>
      <c r="E46" s="41" t="s">
        <v>112</v>
      </c>
      <c r="F46" s="42"/>
      <c r="G46" s="5" t="s">
        <v>85</v>
      </c>
      <c r="H46" s="31" t="s">
        <v>190</v>
      </c>
    </row>
    <row r="47" spans="1:8" ht="18" customHeight="1" x14ac:dyDescent="0.25">
      <c r="A47" s="50"/>
      <c r="B47" s="16" t="s">
        <v>61</v>
      </c>
      <c r="C47" s="13" t="s">
        <v>17</v>
      </c>
      <c r="D47" s="14" t="s">
        <v>67</v>
      </c>
      <c r="E47" s="43"/>
      <c r="F47" s="44"/>
      <c r="G47" s="5" t="s">
        <v>85</v>
      </c>
      <c r="H47" s="26" t="s">
        <v>172</v>
      </c>
    </row>
    <row r="48" spans="1:8" ht="18" customHeight="1" x14ac:dyDescent="0.25">
      <c r="A48" s="50"/>
      <c r="B48" s="16" t="s">
        <v>61</v>
      </c>
      <c r="C48" s="13" t="s">
        <v>194</v>
      </c>
      <c r="D48" s="14" t="s">
        <v>67</v>
      </c>
      <c r="E48" s="43"/>
      <c r="F48" s="44"/>
      <c r="G48" s="5" t="s">
        <v>85</v>
      </c>
      <c r="H48" s="31" t="s">
        <v>190</v>
      </c>
    </row>
    <row r="49" spans="1:8" ht="18" customHeight="1" x14ac:dyDescent="0.25">
      <c r="A49" s="50"/>
      <c r="B49" s="29" t="s">
        <v>61</v>
      </c>
      <c r="C49" s="13" t="s">
        <v>195</v>
      </c>
      <c r="D49" s="14" t="s">
        <v>67</v>
      </c>
      <c r="E49" s="43"/>
      <c r="F49" s="44"/>
      <c r="G49" s="5" t="s">
        <v>85</v>
      </c>
      <c r="H49" s="31" t="s">
        <v>190</v>
      </c>
    </row>
    <row r="50" spans="1:8" ht="18" customHeight="1" x14ac:dyDescent="0.25">
      <c r="A50" s="50"/>
      <c r="B50" s="29" t="s">
        <v>62</v>
      </c>
      <c r="C50" s="13" t="s">
        <v>196</v>
      </c>
      <c r="D50" s="14" t="s">
        <v>67</v>
      </c>
      <c r="E50" s="43"/>
      <c r="F50" s="44"/>
      <c r="G50" s="5" t="s">
        <v>85</v>
      </c>
      <c r="H50" s="31" t="s">
        <v>190</v>
      </c>
    </row>
    <row r="51" spans="1:8" ht="18" customHeight="1" x14ac:dyDescent="0.25">
      <c r="A51" s="50"/>
      <c r="B51" s="29" t="s">
        <v>198</v>
      </c>
      <c r="C51" s="13" t="s">
        <v>199</v>
      </c>
      <c r="D51" s="14" t="s">
        <v>67</v>
      </c>
      <c r="E51" s="43"/>
      <c r="F51" s="44"/>
      <c r="G51" s="5" t="s">
        <v>85</v>
      </c>
      <c r="H51" s="31" t="s">
        <v>190</v>
      </c>
    </row>
    <row r="52" spans="1:8" ht="18" customHeight="1" x14ac:dyDescent="0.25">
      <c r="A52" s="50"/>
      <c r="B52" s="16" t="s">
        <v>61</v>
      </c>
      <c r="C52" s="13" t="s">
        <v>159</v>
      </c>
      <c r="D52" s="14" t="s">
        <v>67</v>
      </c>
      <c r="E52" s="43"/>
      <c r="F52" s="44"/>
      <c r="G52" s="5" t="s">
        <v>85</v>
      </c>
      <c r="H52" s="26" t="s">
        <v>172</v>
      </c>
    </row>
    <row r="53" spans="1:8" ht="18" customHeight="1" x14ac:dyDescent="0.25">
      <c r="A53" s="50"/>
      <c r="B53" s="16" t="s">
        <v>61</v>
      </c>
      <c r="C53" s="13" t="s">
        <v>160</v>
      </c>
      <c r="D53" s="14" t="s">
        <v>67</v>
      </c>
      <c r="E53" s="43"/>
      <c r="F53" s="44"/>
      <c r="G53" s="5" t="s">
        <v>85</v>
      </c>
      <c r="H53" s="26" t="s">
        <v>172</v>
      </c>
    </row>
    <row r="54" spans="1:8" ht="18" customHeight="1" x14ac:dyDescent="0.25">
      <c r="A54" s="50"/>
      <c r="B54" s="16" t="s">
        <v>61</v>
      </c>
      <c r="C54" s="13" t="s">
        <v>18</v>
      </c>
      <c r="D54" s="14" t="s">
        <v>67</v>
      </c>
      <c r="E54" s="43"/>
      <c r="F54" s="44"/>
      <c r="G54" s="5" t="s">
        <v>85</v>
      </c>
      <c r="H54" s="26" t="s">
        <v>172</v>
      </c>
    </row>
    <row r="55" spans="1:8" ht="18" customHeight="1" x14ac:dyDescent="0.25">
      <c r="A55" s="50"/>
      <c r="B55" s="16" t="s">
        <v>63</v>
      </c>
      <c r="C55" s="13" t="s">
        <v>192</v>
      </c>
      <c r="D55" s="14" t="s">
        <v>67</v>
      </c>
      <c r="E55" s="43"/>
      <c r="F55" s="44"/>
      <c r="G55" s="5" t="s">
        <v>85</v>
      </c>
      <c r="H55" s="31" t="s">
        <v>190</v>
      </c>
    </row>
    <row r="56" spans="1:8" ht="18" customHeight="1" x14ac:dyDescent="0.25">
      <c r="A56" s="50"/>
      <c r="B56" s="16" t="s">
        <v>63</v>
      </c>
      <c r="C56" s="13" t="s">
        <v>197</v>
      </c>
      <c r="D56" s="14" t="s">
        <v>67</v>
      </c>
      <c r="E56" s="43"/>
      <c r="F56" s="44"/>
      <c r="G56" s="5" t="s">
        <v>85</v>
      </c>
      <c r="H56" s="31" t="s">
        <v>190</v>
      </c>
    </row>
    <row r="57" spans="1:8" ht="18" customHeight="1" x14ac:dyDescent="0.25">
      <c r="A57" s="51"/>
      <c r="B57" s="16" t="s">
        <v>64</v>
      </c>
      <c r="C57" s="13" t="s">
        <v>19</v>
      </c>
      <c r="D57" s="14" t="s">
        <v>67</v>
      </c>
      <c r="E57" s="43"/>
      <c r="F57" s="44"/>
      <c r="G57" s="5" t="s">
        <v>85</v>
      </c>
      <c r="H57" s="26" t="s">
        <v>172</v>
      </c>
    </row>
    <row r="58" spans="1:8" ht="18" customHeight="1" x14ac:dyDescent="0.25">
      <c r="A58" s="52" t="s">
        <v>52</v>
      </c>
      <c r="B58" s="16" t="s">
        <v>61</v>
      </c>
      <c r="C58" s="13" t="s">
        <v>20</v>
      </c>
      <c r="D58" s="14" t="s">
        <v>67</v>
      </c>
      <c r="E58" s="43"/>
      <c r="F58" s="44"/>
      <c r="G58" s="5" t="s">
        <v>85</v>
      </c>
      <c r="H58" s="26" t="s">
        <v>172</v>
      </c>
    </row>
    <row r="59" spans="1:8" ht="18" customHeight="1" x14ac:dyDescent="0.25">
      <c r="A59" s="53"/>
      <c r="B59" s="16" t="s">
        <v>102</v>
      </c>
      <c r="C59" s="4" t="s">
        <v>103</v>
      </c>
      <c r="D59" s="14" t="s">
        <v>67</v>
      </c>
      <c r="E59" s="45"/>
      <c r="F59" s="46"/>
      <c r="G59" s="5" t="s">
        <v>85</v>
      </c>
      <c r="H59" s="26" t="s">
        <v>172</v>
      </c>
    </row>
    <row r="60" spans="1:8" ht="18" customHeight="1" x14ac:dyDescent="0.25">
      <c r="A60" s="49" t="s">
        <v>121</v>
      </c>
      <c r="B60" s="16" t="s">
        <v>139</v>
      </c>
      <c r="C60" s="4" t="s">
        <v>109</v>
      </c>
      <c r="D60" s="14" t="s">
        <v>67</v>
      </c>
      <c r="E60" s="41" t="s">
        <v>115</v>
      </c>
      <c r="F60" s="42"/>
      <c r="G60" s="17" t="s">
        <v>116</v>
      </c>
      <c r="H60" s="26" t="s">
        <v>172</v>
      </c>
    </row>
    <row r="61" spans="1:8" ht="18" customHeight="1" x14ac:dyDescent="0.25">
      <c r="A61" s="58"/>
      <c r="B61" s="16" t="s">
        <v>140</v>
      </c>
      <c r="C61" s="4" t="s">
        <v>110</v>
      </c>
      <c r="D61" s="14" t="s">
        <v>67</v>
      </c>
      <c r="E61" s="43"/>
      <c r="F61" s="44"/>
      <c r="G61" s="17" t="s">
        <v>116</v>
      </c>
      <c r="H61" s="26" t="s">
        <v>172</v>
      </c>
    </row>
    <row r="62" spans="1:8" ht="18" customHeight="1" x14ac:dyDescent="0.25">
      <c r="A62" s="58"/>
      <c r="B62" s="21" t="s">
        <v>102</v>
      </c>
      <c r="C62" s="4" t="s">
        <v>141</v>
      </c>
      <c r="D62" s="14" t="s">
        <v>67</v>
      </c>
      <c r="E62" s="43"/>
      <c r="F62" s="44"/>
      <c r="G62" s="17" t="s">
        <v>116</v>
      </c>
      <c r="H62" s="26" t="s">
        <v>172</v>
      </c>
    </row>
    <row r="63" spans="1:8" ht="18" customHeight="1" x14ac:dyDescent="0.25">
      <c r="A63" s="53"/>
      <c r="B63" s="16" t="s">
        <v>102</v>
      </c>
      <c r="C63" s="4" t="s">
        <v>111</v>
      </c>
      <c r="D63" s="14" t="s">
        <v>67</v>
      </c>
      <c r="E63" s="45"/>
      <c r="F63" s="46"/>
      <c r="G63" s="17" t="s">
        <v>116</v>
      </c>
      <c r="H63" s="26" t="s">
        <v>172</v>
      </c>
    </row>
    <row r="64" spans="1:8" ht="18" customHeight="1" x14ac:dyDescent="0.25">
      <c r="A64" s="48" t="s">
        <v>86</v>
      </c>
      <c r="B64" s="12" t="s">
        <v>59</v>
      </c>
      <c r="C64" s="13" t="s">
        <v>161</v>
      </c>
      <c r="D64" s="9">
        <v>871000</v>
      </c>
      <c r="E64" s="10">
        <f t="shared" si="0"/>
        <v>697400</v>
      </c>
      <c r="F64" s="11">
        <v>634000</v>
      </c>
      <c r="G64" s="19"/>
      <c r="H64" s="26" t="s">
        <v>172</v>
      </c>
    </row>
    <row r="65" spans="1:8" ht="18" customHeight="1" x14ac:dyDescent="0.25">
      <c r="A65" s="48"/>
      <c r="B65" s="21" t="s">
        <v>59</v>
      </c>
      <c r="C65" s="13" t="s">
        <v>162</v>
      </c>
      <c r="D65" s="9">
        <v>871000</v>
      </c>
      <c r="E65" s="10">
        <f t="shared" si="0"/>
        <v>697400</v>
      </c>
      <c r="F65" s="11">
        <v>634000</v>
      </c>
      <c r="G65" s="19"/>
      <c r="H65" s="26" t="s">
        <v>172</v>
      </c>
    </row>
    <row r="66" spans="1:8" ht="18" customHeight="1" x14ac:dyDescent="0.25">
      <c r="A66" s="48"/>
      <c r="B66" s="12" t="s">
        <v>61</v>
      </c>
      <c r="C66" s="4" t="s">
        <v>21</v>
      </c>
      <c r="D66" s="14" t="s">
        <v>67</v>
      </c>
      <c r="E66" s="10"/>
      <c r="F66" s="11" t="s">
        <v>108</v>
      </c>
      <c r="G66" s="5" t="s">
        <v>85</v>
      </c>
      <c r="H66" s="26" t="s">
        <v>172</v>
      </c>
    </row>
    <row r="67" spans="1:8" ht="18" customHeight="1" x14ac:dyDescent="0.25">
      <c r="A67" s="48"/>
      <c r="B67" s="12" t="s">
        <v>61</v>
      </c>
      <c r="C67" s="4" t="s">
        <v>22</v>
      </c>
      <c r="D67" s="14" t="s">
        <v>67</v>
      </c>
      <c r="E67" s="10"/>
      <c r="F67" s="11" t="s">
        <v>108</v>
      </c>
      <c r="G67" s="5" t="s">
        <v>85</v>
      </c>
      <c r="H67" s="26" t="s">
        <v>172</v>
      </c>
    </row>
    <row r="68" spans="1:8" ht="18" customHeight="1" x14ac:dyDescent="0.25">
      <c r="A68" s="49" t="s">
        <v>119</v>
      </c>
      <c r="B68" s="12" t="s">
        <v>58</v>
      </c>
      <c r="C68" s="4" t="s">
        <v>23</v>
      </c>
      <c r="D68" s="9">
        <v>1154000</v>
      </c>
      <c r="E68" s="10">
        <f t="shared" si="0"/>
        <v>790900.00000000012</v>
      </c>
      <c r="F68" s="11">
        <v>719000</v>
      </c>
      <c r="G68" s="5"/>
      <c r="H68" s="26" t="s">
        <v>172</v>
      </c>
    </row>
    <row r="69" spans="1:8" ht="18" customHeight="1" x14ac:dyDescent="0.25">
      <c r="A69" s="50"/>
      <c r="B69" s="12" t="s">
        <v>61</v>
      </c>
      <c r="C69" s="4" t="s">
        <v>24</v>
      </c>
      <c r="D69" s="14" t="s">
        <v>67</v>
      </c>
      <c r="E69" s="10"/>
      <c r="F69" s="11" t="s">
        <v>108</v>
      </c>
      <c r="G69" s="5" t="s">
        <v>85</v>
      </c>
      <c r="H69" s="26" t="s">
        <v>172</v>
      </c>
    </row>
    <row r="70" spans="1:8" ht="18" customHeight="1" x14ac:dyDescent="0.25">
      <c r="A70" s="50"/>
      <c r="B70" s="12" t="s">
        <v>61</v>
      </c>
      <c r="C70" s="4" t="s">
        <v>25</v>
      </c>
      <c r="D70" s="14" t="s">
        <v>67</v>
      </c>
      <c r="E70" s="10"/>
      <c r="F70" s="11" t="s">
        <v>108</v>
      </c>
      <c r="G70" s="5" t="s">
        <v>85</v>
      </c>
      <c r="H70" s="26" t="s">
        <v>172</v>
      </c>
    </row>
    <row r="71" spans="1:8" ht="18" customHeight="1" x14ac:dyDescent="0.25">
      <c r="A71" s="50"/>
      <c r="B71" s="24" t="s">
        <v>61</v>
      </c>
      <c r="C71" s="4" t="s">
        <v>26</v>
      </c>
      <c r="D71" s="14" t="s">
        <v>67</v>
      </c>
      <c r="E71" s="10"/>
      <c r="F71" s="11" t="s">
        <v>108</v>
      </c>
      <c r="G71" s="5" t="s">
        <v>85</v>
      </c>
      <c r="H71" s="26" t="s">
        <v>172</v>
      </c>
    </row>
    <row r="72" spans="1:8" ht="18" customHeight="1" x14ac:dyDescent="0.25">
      <c r="A72" s="50"/>
      <c r="B72" s="12" t="s">
        <v>61</v>
      </c>
      <c r="C72" s="4" t="s">
        <v>170</v>
      </c>
      <c r="D72" s="14" t="s">
        <v>67</v>
      </c>
      <c r="E72" s="10"/>
      <c r="F72" s="11" t="s">
        <v>108</v>
      </c>
      <c r="G72" s="5" t="s">
        <v>85</v>
      </c>
      <c r="H72" s="26" t="s">
        <v>172</v>
      </c>
    </row>
    <row r="73" spans="1:8" ht="18" customHeight="1" x14ac:dyDescent="0.25">
      <c r="A73" s="50"/>
      <c r="B73" s="12" t="s">
        <v>61</v>
      </c>
      <c r="C73" s="4" t="s">
        <v>163</v>
      </c>
      <c r="D73" s="14" t="s">
        <v>67</v>
      </c>
      <c r="E73" s="41" t="s">
        <v>113</v>
      </c>
      <c r="F73" s="42"/>
      <c r="G73" s="5" t="s">
        <v>85</v>
      </c>
      <c r="H73" s="26" t="s">
        <v>172</v>
      </c>
    </row>
    <row r="74" spans="1:8" ht="18" customHeight="1" x14ac:dyDescent="0.25">
      <c r="A74" s="50"/>
      <c r="B74" s="12" t="s">
        <v>61</v>
      </c>
      <c r="C74" s="4" t="s">
        <v>27</v>
      </c>
      <c r="D74" s="14" t="s">
        <v>67</v>
      </c>
      <c r="E74" s="43"/>
      <c r="F74" s="44"/>
      <c r="G74" s="5" t="s">
        <v>85</v>
      </c>
      <c r="H74" s="26" t="s">
        <v>172</v>
      </c>
    </row>
    <row r="75" spans="1:8" ht="18" customHeight="1" x14ac:dyDescent="0.25">
      <c r="A75" s="50"/>
      <c r="B75" s="12" t="s">
        <v>63</v>
      </c>
      <c r="C75" s="4" t="s">
        <v>28</v>
      </c>
      <c r="D75" s="14" t="s">
        <v>67</v>
      </c>
      <c r="E75" s="43"/>
      <c r="F75" s="44"/>
      <c r="G75" s="5" t="s">
        <v>85</v>
      </c>
      <c r="H75" s="26" t="s">
        <v>172</v>
      </c>
    </row>
    <row r="76" spans="1:8" ht="18" customHeight="1" x14ac:dyDescent="0.25">
      <c r="A76" s="51"/>
      <c r="B76" s="12" t="s">
        <v>64</v>
      </c>
      <c r="C76" s="4" t="s">
        <v>164</v>
      </c>
      <c r="D76" s="14" t="s">
        <v>67</v>
      </c>
      <c r="E76" s="45"/>
      <c r="F76" s="46"/>
      <c r="G76" s="5" t="s">
        <v>85</v>
      </c>
      <c r="H76" s="26" t="s">
        <v>172</v>
      </c>
    </row>
    <row r="77" spans="1:8" ht="18" customHeight="1" x14ac:dyDescent="0.25">
      <c r="A77" s="48" t="s">
        <v>51</v>
      </c>
      <c r="B77" s="12"/>
      <c r="C77" s="13" t="s">
        <v>93</v>
      </c>
      <c r="D77" s="14" t="s">
        <v>67</v>
      </c>
      <c r="E77" s="10"/>
      <c r="F77" s="11" t="s">
        <v>108</v>
      </c>
      <c r="G77" s="5" t="s">
        <v>85</v>
      </c>
      <c r="H77" s="26" t="s">
        <v>172</v>
      </c>
    </row>
    <row r="78" spans="1:8" ht="18" customHeight="1" x14ac:dyDescent="0.25">
      <c r="A78" s="48"/>
      <c r="B78" s="29" t="s">
        <v>65</v>
      </c>
      <c r="C78" s="13" t="s">
        <v>29</v>
      </c>
      <c r="D78" s="14" t="s">
        <v>67</v>
      </c>
      <c r="E78" s="59" t="s">
        <v>114</v>
      </c>
      <c r="F78" s="60"/>
      <c r="G78" s="5" t="s">
        <v>85</v>
      </c>
      <c r="H78" s="26" t="s">
        <v>172</v>
      </c>
    </row>
    <row r="79" spans="1:8" ht="18" customHeight="1" x14ac:dyDescent="0.25">
      <c r="A79" s="48" t="s">
        <v>87</v>
      </c>
      <c r="B79" s="12"/>
      <c r="C79" s="4" t="s">
        <v>32</v>
      </c>
      <c r="D79" s="9">
        <v>231000</v>
      </c>
      <c r="E79" s="10">
        <f t="shared" ref="E79:E125" si="1">SUM(F79*1.1)</f>
        <v>193600.00000000003</v>
      </c>
      <c r="F79" s="11">
        <v>176000</v>
      </c>
      <c r="G79" s="5"/>
      <c r="H79" s="26" t="s">
        <v>172</v>
      </c>
    </row>
    <row r="80" spans="1:8" ht="18" customHeight="1" x14ac:dyDescent="0.25">
      <c r="A80" s="48"/>
      <c r="B80" s="21"/>
      <c r="C80" s="4" t="s">
        <v>137</v>
      </c>
      <c r="D80" s="9">
        <v>293000</v>
      </c>
      <c r="E80" s="10">
        <f t="shared" si="1"/>
        <v>243100.00000000003</v>
      </c>
      <c r="F80" s="11">
        <v>221000</v>
      </c>
      <c r="G80" s="5"/>
      <c r="H80" s="26" t="s">
        <v>172</v>
      </c>
    </row>
    <row r="81" spans="1:8" ht="17.649999999999999" customHeight="1" x14ac:dyDescent="0.25">
      <c r="A81" s="48"/>
      <c r="B81" s="12"/>
      <c r="C81" s="4" t="s">
        <v>31</v>
      </c>
      <c r="D81" s="9">
        <v>581000</v>
      </c>
      <c r="E81" s="10">
        <f t="shared" si="1"/>
        <v>481800.00000000006</v>
      </c>
      <c r="F81" s="11">
        <v>438000</v>
      </c>
      <c r="G81" s="5"/>
      <c r="H81" s="26" t="s">
        <v>172</v>
      </c>
    </row>
    <row r="82" spans="1:8" ht="18" customHeight="1" x14ac:dyDescent="0.25">
      <c r="A82" s="48"/>
      <c r="B82" s="12"/>
      <c r="C82" s="4" t="s">
        <v>73</v>
      </c>
      <c r="D82" s="9">
        <v>406000</v>
      </c>
      <c r="E82" s="10">
        <f t="shared" si="1"/>
        <v>336600</v>
      </c>
      <c r="F82" s="11">
        <v>306000</v>
      </c>
      <c r="G82" s="5"/>
      <c r="H82" s="26" t="s">
        <v>172</v>
      </c>
    </row>
    <row r="83" spans="1:8" ht="18" customHeight="1" x14ac:dyDescent="0.25">
      <c r="A83" s="48" t="s">
        <v>120</v>
      </c>
      <c r="B83" s="12"/>
      <c r="C83" s="13" t="s">
        <v>33</v>
      </c>
      <c r="D83" s="9">
        <v>1941000</v>
      </c>
      <c r="E83" s="10">
        <f t="shared" si="1"/>
        <v>1557600.0000000002</v>
      </c>
      <c r="F83" s="11">
        <v>1416000</v>
      </c>
      <c r="G83" s="5"/>
      <c r="H83" s="26" t="s">
        <v>172</v>
      </c>
    </row>
    <row r="84" spans="1:8" ht="18" customHeight="1" x14ac:dyDescent="0.25">
      <c r="A84" s="48"/>
      <c r="B84" s="15"/>
      <c r="C84" s="13" t="s">
        <v>104</v>
      </c>
      <c r="D84" s="9">
        <v>661000</v>
      </c>
      <c r="E84" s="10">
        <f t="shared" si="1"/>
        <v>530200</v>
      </c>
      <c r="F84" s="11">
        <v>482000</v>
      </c>
      <c r="G84" s="5"/>
      <c r="H84" s="26" t="s">
        <v>172</v>
      </c>
    </row>
    <row r="85" spans="1:8" ht="18" customHeight="1" x14ac:dyDescent="0.25">
      <c r="A85" s="48"/>
      <c r="B85" s="12"/>
      <c r="C85" s="13" t="s">
        <v>35</v>
      </c>
      <c r="D85" s="9">
        <v>1941000</v>
      </c>
      <c r="E85" s="10">
        <f t="shared" si="1"/>
        <v>1557600.0000000002</v>
      </c>
      <c r="F85" s="11">
        <v>1416000</v>
      </c>
      <c r="G85" s="5"/>
      <c r="H85" s="26" t="s">
        <v>172</v>
      </c>
    </row>
    <row r="86" spans="1:8" ht="18" customHeight="1" x14ac:dyDescent="0.25">
      <c r="A86" s="48"/>
      <c r="B86" s="12"/>
      <c r="C86" s="13" t="s">
        <v>36</v>
      </c>
      <c r="D86" s="9">
        <v>5434000</v>
      </c>
      <c r="E86" s="10">
        <f t="shared" si="1"/>
        <v>4359300</v>
      </c>
      <c r="F86" s="11">
        <v>3963000</v>
      </c>
      <c r="G86" s="5"/>
      <c r="H86" s="26" t="s">
        <v>172</v>
      </c>
    </row>
    <row r="87" spans="1:8" ht="18" customHeight="1" x14ac:dyDescent="0.25">
      <c r="A87" s="48"/>
      <c r="B87" s="29"/>
      <c r="C87" s="13" t="s">
        <v>183</v>
      </c>
      <c r="D87" s="9">
        <v>2330000</v>
      </c>
      <c r="E87" s="10">
        <f t="shared" si="1"/>
        <v>1868900.0000000002</v>
      </c>
      <c r="F87" s="11">
        <v>1699000</v>
      </c>
      <c r="G87" s="5"/>
      <c r="H87" s="26" t="s">
        <v>172</v>
      </c>
    </row>
    <row r="88" spans="1:8" ht="18" customHeight="1" x14ac:dyDescent="0.25">
      <c r="A88" s="48"/>
      <c r="B88" s="12"/>
      <c r="C88" s="13" t="s">
        <v>122</v>
      </c>
      <c r="D88" s="9">
        <v>3493000</v>
      </c>
      <c r="E88" s="10">
        <f t="shared" si="1"/>
        <v>2802800</v>
      </c>
      <c r="F88" s="11">
        <v>2548000</v>
      </c>
      <c r="G88" s="5"/>
      <c r="H88" s="26" t="s">
        <v>172</v>
      </c>
    </row>
    <row r="89" spans="1:8" ht="18" customHeight="1" x14ac:dyDescent="0.25">
      <c r="A89" s="48"/>
      <c r="B89" s="29"/>
      <c r="C89" s="13" t="s">
        <v>184</v>
      </c>
      <c r="D89" s="9">
        <v>3881000</v>
      </c>
      <c r="E89" s="10">
        <f t="shared" si="1"/>
        <v>3114100.0000000005</v>
      </c>
      <c r="F89" s="11">
        <v>2831000</v>
      </c>
      <c r="G89" s="5"/>
      <c r="H89" s="26" t="s">
        <v>172</v>
      </c>
    </row>
    <row r="90" spans="1:8" ht="18" customHeight="1" x14ac:dyDescent="0.25">
      <c r="A90" s="48"/>
      <c r="B90" s="12"/>
      <c r="C90" s="13" t="s">
        <v>37</v>
      </c>
      <c r="D90" s="9">
        <v>661000</v>
      </c>
      <c r="E90" s="10">
        <f t="shared" si="1"/>
        <v>530200</v>
      </c>
      <c r="F90" s="11">
        <v>482000</v>
      </c>
      <c r="G90" s="5"/>
      <c r="H90" s="26" t="s">
        <v>172</v>
      </c>
    </row>
    <row r="91" spans="1:8" ht="18" customHeight="1" x14ac:dyDescent="0.25">
      <c r="A91" s="48"/>
      <c r="B91" s="18"/>
      <c r="C91" s="13" t="s">
        <v>38</v>
      </c>
      <c r="D91" s="9">
        <v>427000</v>
      </c>
      <c r="E91" s="10">
        <f t="shared" si="1"/>
        <v>343200</v>
      </c>
      <c r="F91" s="11">
        <v>312000</v>
      </c>
      <c r="G91" s="5"/>
      <c r="H91" s="26" t="s">
        <v>172</v>
      </c>
    </row>
    <row r="92" spans="1:8" ht="18" customHeight="1" x14ac:dyDescent="0.25">
      <c r="A92" s="48"/>
      <c r="B92" s="12"/>
      <c r="C92" s="13" t="s">
        <v>124</v>
      </c>
      <c r="D92" s="9">
        <v>1941000</v>
      </c>
      <c r="E92" s="10">
        <f t="shared" si="1"/>
        <v>1557600.0000000002</v>
      </c>
      <c r="F92" s="11">
        <v>1416000</v>
      </c>
      <c r="G92" s="5"/>
      <c r="H92" s="26" t="s">
        <v>172</v>
      </c>
    </row>
    <row r="93" spans="1:8" ht="18" customHeight="1" x14ac:dyDescent="0.25">
      <c r="A93" s="48"/>
      <c r="B93" s="12"/>
      <c r="C93" s="13" t="s">
        <v>123</v>
      </c>
      <c r="D93" s="9">
        <v>681000</v>
      </c>
      <c r="E93" s="10">
        <f t="shared" si="1"/>
        <v>546700</v>
      </c>
      <c r="F93" s="11">
        <v>497000</v>
      </c>
      <c r="G93" s="5"/>
      <c r="H93" s="26" t="s">
        <v>172</v>
      </c>
    </row>
    <row r="94" spans="1:8" ht="18" customHeight="1" x14ac:dyDescent="0.25">
      <c r="A94" s="48"/>
      <c r="B94" s="12"/>
      <c r="C94" s="13" t="s">
        <v>125</v>
      </c>
      <c r="D94" s="9">
        <v>427000</v>
      </c>
      <c r="E94" s="10">
        <f t="shared" si="1"/>
        <v>343200</v>
      </c>
      <c r="F94" s="11">
        <v>312000</v>
      </c>
      <c r="G94" s="5"/>
      <c r="H94" s="26" t="s">
        <v>172</v>
      </c>
    </row>
    <row r="95" spans="1:8" ht="18" customHeight="1" x14ac:dyDescent="0.25">
      <c r="A95" s="48"/>
      <c r="B95" s="18"/>
      <c r="C95" s="13" t="s">
        <v>127</v>
      </c>
      <c r="D95" s="9">
        <v>1941000</v>
      </c>
      <c r="E95" s="10">
        <f t="shared" si="1"/>
        <v>1557600.0000000002</v>
      </c>
      <c r="F95" s="11">
        <v>1416000</v>
      </c>
      <c r="G95" s="5"/>
      <c r="H95" s="26" t="s">
        <v>172</v>
      </c>
    </row>
    <row r="96" spans="1:8" ht="18" customHeight="1" x14ac:dyDescent="0.25">
      <c r="A96" s="48"/>
      <c r="B96" s="18"/>
      <c r="C96" s="13" t="s">
        <v>126</v>
      </c>
      <c r="D96" s="9">
        <v>817000</v>
      </c>
      <c r="E96" s="10">
        <f t="shared" si="1"/>
        <v>655600</v>
      </c>
      <c r="F96" s="11">
        <v>596000</v>
      </c>
      <c r="G96" s="5"/>
      <c r="H96" s="26" t="s">
        <v>172</v>
      </c>
    </row>
    <row r="97" spans="1:8" ht="18" customHeight="1" x14ac:dyDescent="0.25">
      <c r="A97" s="48"/>
      <c r="B97" s="18"/>
      <c r="C97" s="13" t="s">
        <v>34</v>
      </c>
      <c r="D97" s="9">
        <v>427000</v>
      </c>
      <c r="E97" s="10">
        <f t="shared" si="1"/>
        <v>343200</v>
      </c>
      <c r="F97" s="11">
        <v>312000</v>
      </c>
      <c r="G97" s="5"/>
      <c r="H97" s="26" t="s">
        <v>172</v>
      </c>
    </row>
    <row r="98" spans="1:8" ht="18" customHeight="1" x14ac:dyDescent="0.25">
      <c r="A98" s="48"/>
      <c r="B98" s="18"/>
      <c r="C98" s="13" t="s">
        <v>131</v>
      </c>
      <c r="D98" s="9">
        <v>311000</v>
      </c>
      <c r="E98" s="10">
        <f t="shared" si="1"/>
        <v>249700.00000000003</v>
      </c>
      <c r="F98" s="11">
        <v>227000</v>
      </c>
      <c r="G98" s="5"/>
      <c r="H98" s="26" t="s">
        <v>172</v>
      </c>
    </row>
    <row r="99" spans="1:8" ht="18" customHeight="1" x14ac:dyDescent="0.25">
      <c r="A99" s="48" t="s">
        <v>53</v>
      </c>
      <c r="B99" s="12"/>
      <c r="C99" s="4" t="s">
        <v>39</v>
      </c>
      <c r="D99" s="9">
        <v>75000</v>
      </c>
      <c r="E99" s="10">
        <f t="shared" si="1"/>
        <v>58300.000000000007</v>
      </c>
      <c r="F99" s="11">
        <v>53000</v>
      </c>
      <c r="G99" s="5"/>
      <c r="H99" s="26" t="s">
        <v>172</v>
      </c>
    </row>
    <row r="100" spans="1:8" ht="18" customHeight="1" x14ac:dyDescent="0.25">
      <c r="A100" s="48"/>
      <c r="B100" s="12"/>
      <c r="C100" s="13" t="s">
        <v>40</v>
      </c>
      <c r="D100" s="9">
        <v>216000</v>
      </c>
      <c r="E100" s="25">
        <f t="shared" si="1"/>
        <v>168300</v>
      </c>
      <c r="F100" s="11">
        <v>153000</v>
      </c>
      <c r="G100" s="19"/>
      <c r="H100" s="26" t="s">
        <v>172</v>
      </c>
    </row>
    <row r="101" spans="1:8" ht="18" customHeight="1" x14ac:dyDescent="0.25">
      <c r="A101" s="48"/>
      <c r="B101" s="29"/>
      <c r="C101" s="13" t="s">
        <v>41</v>
      </c>
      <c r="D101" s="9">
        <v>216000</v>
      </c>
      <c r="E101" s="25">
        <f t="shared" ref="E101" si="2">SUM(F101*1.1)</f>
        <v>168300</v>
      </c>
      <c r="F101" s="11">
        <v>153000</v>
      </c>
      <c r="G101" s="19"/>
      <c r="H101" s="26" t="s">
        <v>172</v>
      </c>
    </row>
    <row r="102" spans="1:8" ht="18" customHeight="1" x14ac:dyDescent="0.25">
      <c r="A102" s="48"/>
      <c r="B102" s="29"/>
      <c r="C102" s="13" t="s">
        <v>186</v>
      </c>
      <c r="D102" s="9">
        <v>264000</v>
      </c>
      <c r="E102" s="25">
        <f>SUM(F102*1.1)</f>
        <v>203500.00000000003</v>
      </c>
      <c r="F102" s="11">
        <v>185000</v>
      </c>
      <c r="G102" s="19"/>
      <c r="H102" s="30" t="s">
        <v>188</v>
      </c>
    </row>
    <row r="103" spans="1:8" ht="18" customHeight="1" x14ac:dyDescent="0.25">
      <c r="A103" s="48"/>
      <c r="B103" s="12"/>
      <c r="C103" s="13" t="s">
        <v>187</v>
      </c>
      <c r="D103" s="9">
        <v>216000</v>
      </c>
      <c r="E103" s="25">
        <f t="shared" si="1"/>
        <v>158400</v>
      </c>
      <c r="F103" s="11">
        <v>144000</v>
      </c>
      <c r="G103" s="19"/>
      <c r="H103" s="30" t="s">
        <v>188</v>
      </c>
    </row>
    <row r="104" spans="1:8" ht="18" customHeight="1" x14ac:dyDescent="0.25">
      <c r="A104" s="47" t="s">
        <v>88</v>
      </c>
      <c r="B104" s="12"/>
      <c r="C104" s="4" t="s">
        <v>44</v>
      </c>
      <c r="D104" s="9">
        <v>251000</v>
      </c>
      <c r="E104" s="10">
        <f t="shared" si="1"/>
        <v>199100.00000000003</v>
      </c>
      <c r="F104" s="11">
        <v>181000</v>
      </c>
      <c r="G104" s="5"/>
      <c r="H104" s="26" t="s">
        <v>172</v>
      </c>
    </row>
    <row r="105" spans="1:8" ht="18" customHeight="1" x14ac:dyDescent="0.25">
      <c r="A105" s="48"/>
      <c r="B105" s="12"/>
      <c r="C105" s="4" t="s">
        <v>45</v>
      </c>
      <c r="D105" s="9">
        <v>212000</v>
      </c>
      <c r="E105" s="10">
        <f t="shared" si="1"/>
        <v>171600</v>
      </c>
      <c r="F105" s="11">
        <v>156000</v>
      </c>
      <c r="G105" s="5"/>
      <c r="H105" s="26" t="s">
        <v>172</v>
      </c>
    </row>
    <row r="106" spans="1:8" ht="18" customHeight="1" x14ac:dyDescent="0.25">
      <c r="A106" s="48"/>
      <c r="B106" s="12"/>
      <c r="C106" s="4" t="s">
        <v>105</v>
      </c>
      <c r="D106" s="9">
        <v>476000</v>
      </c>
      <c r="E106" s="10">
        <f t="shared" si="1"/>
        <v>368500.00000000006</v>
      </c>
      <c r="F106" s="11">
        <v>335000</v>
      </c>
      <c r="G106" s="5"/>
      <c r="H106" s="26" t="s">
        <v>172</v>
      </c>
    </row>
    <row r="107" spans="1:8" ht="18" customHeight="1" x14ac:dyDescent="0.25">
      <c r="A107" s="48"/>
      <c r="B107" s="29"/>
      <c r="C107" s="4" t="s">
        <v>185</v>
      </c>
      <c r="D107" s="9">
        <v>251000</v>
      </c>
      <c r="E107" s="10">
        <f t="shared" si="1"/>
        <v>199100.00000000003</v>
      </c>
      <c r="F107" s="11">
        <v>181000</v>
      </c>
      <c r="G107" s="5"/>
    </row>
    <row r="108" spans="1:8" ht="18" customHeight="1" x14ac:dyDescent="0.25">
      <c r="A108" s="48"/>
      <c r="B108" s="12"/>
      <c r="C108" s="4" t="s">
        <v>94</v>
      </c>
      <c r="D108" s="9">
        <v>476000</v>
      </c>
      <c r="E108" s="10">
        <f t="shared" si="1"/>
        <v>377300.00000000006</v>
      </c>
      <c r="F108" s="11">
        <v>343000</v>
      </c>
      <c r="G108" s="5"/>
      <c r="H108" s="26" t="s">
        <v>172</v>
      </c>
    </row>
    <row r="109" spans="1:8" ht="18" customHeight="1" x14ac:dyDescent="0.25">
      <c r="A109" s="48"/>
      <c r="B109" s="12"/>
      <c r="C109" s="4" t="s">
        <v>46</v>
      </c>
      <c r="D109" s="9">
        <v>444000</v>
      </c>
      <c r="E109" s="10">
        <f t="shared" si="1"/>
        <v>345400</v>
      </c>
      <c r="F109" s="11">
        <v>314000</v>
      </c>
      <c r="G109" s="5"/>
      <c r="H109" s="26" t="s">
        <v>172</v>
      </c>
    </row>
    <row r="110" spans="1:8" ht="18" customHeight="1" x14ac:dyDescent="0.25">
      <c r="A110" s="48"/>
      <c r="B110" s="12"/>
      <c r="C110" s="4" t="s">
        <v>106</v>
      </c>
      <c r="D110" s="9">
        <v>670000</v>
      </c>
      <c r="E110" s="10">
        <f t="shared" si="1"/>
        <v>519200.00000000006</v>
      </c>
      <c r="F110" s="11">
        <v>472000</v>
      </c>
      <c r="G110" s="5"/>
      <c r="H110" s="26" t="s">
        <v>172</v>
      </c>
    </row>
    <row r="111" spans="1:8" ht="18" customHeight="1" x14ac:dyDescent="0.25">
      <c r="A111" s="48"/>
      <c r="B111" s="12"/>
      <c r="C111" s="4" t="s">
        <v>42</v>
      </c>
      <c r="D111" s="9">
        <v>194000</v>
      </c>
      <c r="E111" s="10">
        <f t="shared" si="1"/>
        <v>161700</v>
      </c>
      <c r="F111" s="11">
        <v>147000</v>
      </c>
      <c r="G111" s="5"/>
      <c r="H111" s="26" t="s">
        <v>172</v>
      </c>
    </row>
    <row r="112" spans="1:8" ht="18" customHeight="1" x14ac:dyDescent="0.25">
      <c r="A112" s="48"/>
      <c r="B112" s="12"/>
      <c r="C112" s="4" t="s">
        <v>43</v>
      </c>
      <c r="D112" s="9">
        <v>321000</v>
      </c>
      <c r="E112" s="10">
        <f t="shared" si="1"/>
        <v>268400</v>
      </c>
      <c r="F112" s="11">
        <v>244000</v>
      </c>
      <c r="G112" s="5"/>
      <c r="H112" s="26" t="s">
        <v>172</v>
      </c>
    </row>
    <row r="113" spans="1:8" ht="18" customHeight="1" x14ac:dyDescent="0.25">
      <c r="A113" s="48" t="s">
        <v>54</v>
      </c>
      <c r="B113" s="47" t="s">
        <v>89</v>
      </c>
      <c r="C113" s="13" t="s">
        <v>132</v>
      </c>
      <c r="D113" s="14" t="s">
        <v>67</v>
      </c>
      <c r="E113" s="10"/>
      <c r="F113" s="11" t="s">
        <v>108</v>
      </c>
      <c r="G113" s="5" t="s">
        <v>68</v>
      </c>
      <c r="H113" s="26" t="s">
        <v>172</v>
      </c>
    </row>
    <row r="114" spans="1:8" ht="18" customHeight="1" x14ac:dyDescent="0.25">
      <c r="A114" s="48"/>
      <c r="B114" s="47"/>
      <c r="C114" s="13" t="s">
        <v>133</v>
      </c>
      <c r="D114" s="14" t="s">
        <v>67</v>
      </c>
      <c r="E114" s="10"/>
      <c r="F114" s="11" t="s">
        <v>108</v>
      </c>
      <c r="G114" s="5" t="s">
        <v>68</v>
      </c>
      <c r="H114" s="26" t="s">
        <v>172</v>
      </c>
    </row>
    <row r="115" spans="1:8" ht="18" customHeight="1" x14ac:dyDescent="0.25">
      <c r="A115" s="48"/>
      <c r="B115" s="47"/>
      <c r="C115" s="13" t="s">
        <v>165</v>
      </c>
      <c r="D115" s="14" t="s">
        <v>67</v>
      </c>
      <c r="E115" s="10"/>
      <c r="F115" s="11" t="s">
        <v>108</v>
      </c>
      <c r="G115" s="5" t="s">
        <v>68</v>
      </c>
      <c r="H115" s="26" t="s">
        <v>172</v>
      </c>
    </row>
    <row r="116" spans="1:8" ht="18" customHeight="1" x14ac:dyDescent="0.25">
      <c r="A116" s="48"/>
      <c r="B116" s="47"/>
      <c r="C116" s="13" t="s">
        <v>166</v>
      </c>
      <c r="D116" s="14" t="s">
        <v>67</v>
      </c>
      <c r="E116" s="10"/>
      <c r="F116" s="11" t="s">
        <v>108</v>
      </c>
      <c r="G116" s="5" t="s">
        <v>68</v>
      </c>
      <c r="H116" s="26" t="s">
        <v>172</v>
      </c>
    </row>
    <row r="117" spans="1:8" ht="18" customHeight="1" x14ac:dyDescent="0.25">
      <c r="A117" s="48"/>
      <c r="B117" s="61" t="s">
        <v>74</v>
      </c>
      <c r="C117" s="38" t="s">
        <v>47</v>
      </c>
      <c r="D117" s="62">
        <v>812000</v>
      </c>
      <c r="E117" s="40">
        <f t="shared" si="1"/>
        <v>673200</v>
      </c>
      <c r="F117" s="11">
        <v>612000</v>
      </c>
      <c r="G117" s="63"/>
      <c r="H117" s="64" t="s">
        <v>172</v>
      </c>
    </row>
    <row r="118" spans="1:8" ht="18" customHeight="1" x14ac:dyDescent="0.25">
      <c r="A118" s="48"/>
      <c r="B118" s="61"/>
      <c r="C118" s="38" t="s">
        <v>128</v>
      </c>
      <c r="D118" s="62">
        <v>915000</v>
      </c>
      <c r="E118" s="40">
        <f t="shared" si="1"/>
        <v>756800.00000000012</v>
      </c>
      <c r="F118" s="11">
        <v>688000</v>
      </c>
      <c r="G118" s="63"/>
      <c r="H118" s="64" t="s">
        <v>172</v>
      </c>
    </row>
    <row r="119" spans="1:8" ht="18" customHeight="1" x14ac:dyDescent="0.25">
      <c r="A119" s="48"/>
      <c r="B119" s="61"/>
      <c r="C119" s="38" t="s">
        <v>129</v>
      </c>
      <c r="D119" s="62">
        <v>1423000</v>
      </c>
      <c r="E119" s="40">
        <f t="shared" si="1"/>
        <v>1178100</v>
      </c>
      <c r="F119" s="11">
        <v>1071000</v>
      </c>
      <c r="G119" s="63"/>
      <c r="H119" s="64" t="s">
        <v>172</v>
      </c>
    </row>
    <row r="120" spans="1:8" ht="18" customHeight="1" x14ac:dyDescent="0.25">
      <c r="A120" s="48"/>
      <c r="B120" s="61"/>
      <c r="C120" s="38" t="s">
        <v>130</v>
      </c>
      <c r="D120" s="62">
        <v>3048000</v>
      </c>
      <c r="E120" s="40">
        <f t="shared" si="1"/>
        <v>2526700</v>
      </c>
      <c r="F120" s="11">
        <v>2297000</v>
      </c>
      <c r="G120" s="63"/>
      <c r="H120" s="64" t="s">
        <v>172</v>
      </c>
    </row>
    <row r="121" spans="1:8" ht="18" customHeight="1" x14ac:dyDescent="0.25">
      <c r="A121" s="47" t="s">
        <v>180</v>
      </c>
      <c r="B121" s="47" t="s">
        <v>200</v>
      </c>
      <c r="C121" s="13" t="s">
        <v>95</v>
      </c>
      <c r="D121" s="9">
        <v>366000</v>
      </c>
      <c r="E121" s="25">
        <f t="shared" si="1"/>
        <v>309100</v>
      </c>
      <c r="F121" s="11">
        <v>281000</v>
      </c>
      <c r="G121" s="19"/>
      <c r="H121" s="26" t="s">
        <v>172</v>
      </c>
    </row>
    <row r="122" spans="1:8" ht="18" customHeight="1" x14ac:dyDescent="0.25">
      <c r="A122" s="48"/>
      <c r="B122" s="47"/>
      <c r="C122" s="13" t="s">
        <v>96</v>
      </c>
      <c r="D122" s="9">
        <v>507000</v>
      </c>
      <c r="E122" s="25">
        <f t="shared" si="1"/>
        <v>430100.00000000006</v>
      </c>
      <c r="F122" s="11">
        <v>391000</v>
      </c>
      <c r="G122" s="19"/>
      <c r="H122" s="26" t="s">
        <v>172</v>
      </c>
    </row>
    <row r="123" spans="1:8" ht="18" customHeight="1" x14ac:dyDescent="0.25">
      <c r="A123" s="48"/>
      <c r="B123" s="47"/>
      <c r="C123" s="13" t="s">
        <v>138</v>
      </c>
      <c r="D123" s="9">
        <v>609000</v>
      </c>
      <c r="E123" s="25">
        <f t="shared" si="1"/>
        <v>515900.00000000006</v>
      </c>
      <c r="F123" s="11">
        <v>469000</v>
      </c>
      <c r="G123" s="19"/>
      <c r="H123" s="26" t="s">
        <v>172</v>
      </c>
    </row>
    <row r="124" spans="1:8" ht="18" customHeight="1" x14ac:dyDescent="0.25">
      <c r="A124" s="48"/>
      <c r="B124" s="47"/>
      <c r="C124" s="13" t="s">
        <v>100</v>
      </c>
      <c r="D124" s="9">
        <v>812000</v>
      </c>
      <c r="E124" s="25">
        <f t="shared" si="1"/>
        <v>687500</v>
      </c>
      <c r="F124" s="11">
        <v>625000</v>
      </c>
      <c r="G124" s="19"/>
      <c r="H124" s="26" t="s">
        <v>172</v>
      </c>
    </row>
    <row r="125" spans="1:8" ht="18" customHeight="1" x14ac:dyDescent="0.25">
      <c r="A125" s="48"/>
      <c r="B125" s="47"/>
      <c r="C125" s="13" t="s">
        <v>97</v>
      </c>
      <c r="D125" s="9">
        <v>1015000</v>
      </c>
      <c r="E125" s="25">
        <f t="shared" si="1"/>
        <v>860200.00000000012</v>
      </c>
      <c r="F125" s="11">
        <v>782000</v>
      </c>
      <c r="G125" s="19"/>
      <c r="H125" s="26" t="s">
        <v>172</v>
      </c>
    </row>
    <row r="126" spans="1:8" ht="18" customHeight="1" x14ac:dyDescent="0.25">
      <c r="A126" s="47" t="s">
        <v>179</v>
      </c>
      <c r="B126" s="49" t="s">
        <v>90</v>
      </c>
      <c r="C126" s="13" t="s">
        <v>167</v>
      </c>
      <c r="D126" s="14" t="s">
        <v>67</v>
      </c>
      <c r="E126" s="25"/>
      <c r="F126" s="11" t="s">
        <v>108</v>
      </c>
      <c r="G126" s="19" t="s">
        <v>68</v>
      </c>
      <c r="H126" s="26" t="s">
        <v>172</v>
      </c>
    </row>
    <row r="127" spans="1:8" ht="18" customHeight="1" x14ac:dyDescent="0.25">
      <c r="A127" s="48"/>
      <c r="B127" s="50"/>
      <c r="C127" s="13" t="s">
        <v>168</v>
      </c>
      <c r="D127" s="14" t="s">
        <v>67</v>
      </c>
      <c r="E127" s="25"/>
      <c r="F127" s="11" t="s">
        <v>108</v>
      </c>
      <c r="G127" s="19" t="s">
        <v>68</v>
      </c>
      <c r="H127" s="26" t="s">
        <v>172</v>
      </c>
    </row>
    <row r="128" spans="1:8" ht="18" customHeight="1" x14ac:dyDescent="0.25">
      <c r="A128" s="48"/>
      <c r="B128" s="50"/>
      <c r="C128" s="13" t="s">
        <v>48</v>
      </c>
      <c r="D128" s="14" t="s">
        <v>67</v>
      </c>
      <c r="E128" s="25"/>
      <c r="F128" s="11" t="s">
        <v>108</v>
      </c>
      <c r="G128" s="19" t="s">
        <v>68</v>
      </c>
      <c r="H128" s="26" t="s">
        <v>172</v>
      </c>
    </row>
    <row r="129" spans="1:8" ht="18" customHeight="1" x14ac:dyDescent="0.25">
      <c r="A129" s="48"/>
      <c r="B129" s="50"/>
      <c r="C129" s="13" t="s">
        <v>176</v>
      </c>
      <c r="D129" s="14" t="s">
        <v>67</v>
      </c>
      <c r="E129" s="25"/>
      <c r="F129" s="11" t="s">
        <v>108</v>
      </c>
      <c r="G129" s="19" t="s">
        <v>68</v>
      </c>
      <c r="H129" s="26" t="s">
        <v>172</v>
      </c>
    </row>
    <row r="130" spans="1:8" ht="18" customHeight="1" x14ac:dyDescent="0.25">
      <c r="A130" s="48"/>
      <c r="B130" s="50"/>
      <c r="C130" s="13" t="s">
        <v>169</v>
      </c>
      <c r="D130" s="14" t="s">
        <v>67</v>
      </c>
      <c r="E130" s="25"/>
      <c r="F130" s="11" t="s">
        <v>108</v>
      </c>
      <c r="G130" s="19" t="s">
        <v>68</v>
      </c>
      <c r="H130" s="26" t="s">
        <v>172</v>
      </c>
    </row>
    <row r="131" spans="1:8" ht="18" customHeight="1" x14ac:dyDescent="0.25">
      <c r="A131" s="48"/>
      <c r="B131" s="51"/>
      <c r="C131" s="13" t="s">
        <v>146</v>
      </c>
      <c r="D131" s="14" t="s">
        <v>67</v>
      </c>
      <c r="E131" s="25"/>
      <c r="F131" s="11" t="s">
        <v>108</v>
      </c>
      <c r="G131" s="19" t="s">
        <v>68</v>
      </c>
      <c r="H131" s="26" t="s">
        <v>172</v>
      </c>
    </row>
    <row r="132" spans="1:8" ht="18" customHeight="1" x14ac:dyDescent="0.25">
      <c r="A132" s="48"/>
      <c r="B132" s="47" t="s">
        <v>193</v>
      </c>
      <c r="C132" s="13" t="s">
        <v>173</v>
      </c>
      <c r="D132" s="14" t="s">
        <v>67</v>
      </c>
      <c r="E132" s="25"/>
      <c r="F132" s="11" t="s">
        <v>108</v>
      </c>
      <c r="G132" s="19" t="s">
        <v>68</v>
      </c>
      <c r="H132" s="26" t="s">
        <v>172</v>
      </c>
    </row>
    <row r="133" spans="1:8" ht="18" customHeight="1" x14ac:dyDescent="0.25">
      <c r="A133" s="48"/>
      <c r="B133" s="47"/>
      <c r="C133" s="13" t="s">
        <v>174</v>
      </c>
      <c r="D133" s="14" t="s">
        <v>67</v>
      </c>
      <c r="E133" s="25"/>
      <c r="F133" s="11" t="s">
        <v>108</v>
      </c>
      <c r="G133" s="19" t="s">
        <v>68</v>
      </c>
      <c r="H133" s="26" t="s">
        <v>172</v>
      </c>
    </row>
    <row r="134" spans="1:8" ht="18" customHeight="1" x14ac:dyDescent="0.25">
      <c r="A134" s="48"/>
      <c r="B134" s="47"/>
      <c r="C134" s="13" t="s">
        <v>175</v>
      </c>
      <c r="D134" s="14" t="s">
        <v>67</v>
      </c>
      <c r="E134" s="25"/>
      <c r="F134" s="11" t="s">
        <v>108</v>
      </c>
      <c r="G134" s="19" t="s">
        <v>68</v>
      </c>
      <c r="H134" s="26" t="s">
        <v>172</v>
      </c>
    </row>
  </sheetData>
  <sheetProtection formatCells="0" formatColumns="0" formatRows="0" insertColumns="0" insertRows="0" insertHyperlinks="0" deleteColumns="0" deleteRows="0" sort="0" autoFilter="0" pivotTables="0"/>
  <mergeCells count="31">
    <mergeCell ref="E73:F76"/>
    <mergeCell ref="B117:B120"/>
    <mergeCell ref="B113:B116"/>
    <mergeCell ref="E78:F78"/>
    <mergeCell ref="E60:F63"/>
    <mergeCell ref="B121:B125"/>
    <mergeCell ref="A121:A125"/>
    <mergeCell ref="A126:A134"/>
    <mergeCell ref="B132:B134"/>
    <mergeCell ref="A68:A76"/>
    <mergeCell ref="B126:B131"/>
    <mergeCell ref="A113:A120"/>
    <mergeCell ref="A77:A78"/>
    <mergeCell ref="A79:A82"/>
    <mergeCell ref="A83:A98"/>
    <mergeCell ref="A99:A103"/>
    <mergeCell ref="A104:A112"/>
    <mergeCell ref="A1:G1"/>
    <mergeCell ref="A17:A18"/>
    <mergeCell ref="A24:A35"/>
    <mergeCell ref="E36:F37"/>
    <mergeCell ref="A19:A20"/>
    <mergeCell ref="A3:A16"/>
    <mergeCell ref="A22:A23"/>
    <mergeCell ref="A36:A37"/>
    <mergeCell ref="E46:F59"/>
    <mergeCell ref="A38:A45"/>
    <mergeCell ref="A46:A57"/>
    <mergeCell ref="A64:A67"/>
    <mergeCell ref="A58:A59"/>
    <mergeCell ref="A60:A63"/>
  </mergeCells>
  <phoneticPr fontId="2" type="noConversion"/>
  <pageMargins left="0.7" right="0.7" top="0.75" bottom="0.75" header="0.3" footer="0.3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Products</vt:lpstr>
      <vt:lpstr>Products!Print_Area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상환 김</cp:lastModifiedBy>
  <cp:lastPrinted>2025-07-16T01:26:58Z</cp:lastPrinted>
  <dcterms:created xsi:type="dcterms:W3CDTF">2022-11-16T22:44:54Z</dcterms:created>
  <dcterms:modified xsi:type="dcterms:W3CDTF">2026-04-07T05:19:07Z</dcterms:modified>
  <cp:category/>
</cp:coreProperties>
</file>