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\\192.168.0.251\업무공용\경리업무\매일쓰는자료\"/>
    </mc:Choice>
  </mc:AlternateContent>
  <xr:revisionPtr revIDLastSave="0" documentId="13_ncr:1_{A4C84D9F-46FE-4C63-B0D7-B83F51BC9802}" xr6:coauthVersionLast="45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재생토너" sheetId="5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AMBDA_WF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25" i="5" l="1"/>
  <c r="F25" i="5"/>
  <c r="D26" i="5"/>
  <c r="F26" i="5"/>
  <c r="D27" i="5"/>
  <c r="F27" i="5"/>
  <c r="D24" i="5"/>
  <c r="F24" i="5"/>
  <c r="D47" i="5"/>
  <c r="D48" i="5"/>
  <c r="F42" i="5"/>
  <c r="D42" i="5"/>
  <c r="D43" i="5"/>
  <c r="F23" i="5"/>
  <c r="D23" i="5"/>
  <c r="F22" i="5"/>
  <c r="D22" i="5"/>
  <c r="F21" i="5"/>
  <c r="D21" i="5"/>
  <c r="F20" i="5"/>
  <c r="D20" i="5"/>
  <c r="F19" i="5"/>
  <c r="D19" i="5"/>
  <c r="F18" i="5"/>
  <c r="D18" i="5"/>
  <c r="F5" i="5"/>
  <c r="F6" i="5"/>
  <c r="F7" i="5"/>
  <c r="F8" i="5"/>
  <c r="F9" i="5"/>
  <c r="F10" i="5"/>
  <c r="F11" i="5"/>
  <c r="F12" i="5"/>
  <c r="F13" i="5"/>
  <c r="F14" i="5"/>
  <c r="F15" i="5"/>
  <c r="F16" i="5"/>
  <c r="F17" i="5"/>
  <c r="F28" i="5"/>
  <c r="F29" i="5"/>
  <c r="F30" i="5"/>
  <c r="F31" i="5"/>
  <c r="F32" i="5"/>
  <c r="F33" i="5"/>
  <c r="F34" i="5"/>
  <c r="F35" i="5"/>
  <c r="F36" i="5"/>
  <c r="F37" i="5"/>
  <c r="F38" i="5"/>
  <c r="F39" i="5"/>
  <c r="F40" i="5"/>
  <c r="F41" i="5"/>
  <c r="F43" i="5"/>
  <c r="F44" i="5"/>
  <c r="F45" i="5"/>
  <c r="F46" i="5"/>
  <c r="F47" i="5"/>
  <c r="F48" i="5"/>
  <c r="F49" i="5"/>
  <c r="F50" i="5"/>
  <c r="F51" i="5"/>
  <c r="F52" i="5"/>
  <c r="F53" i="5"/>
  <c r="F54" i="5"/>
  <c r="F55" i="5"/>
  <c r="F56" i="5"/>
  <c r="F57" i="5"/>
  <c r="F58" i="5"/>
  <c r="F59" i="5"/>
  <c r="F60" i="5"/>
  <c r="F61" i="5"/>
  <c r="F62" i="5"/>
  <c r="F63" i="5"/>
  <c r="F64" i="5"/>
  <c r="F65" i="5"/>
  <c r="F4" i="5"/>
  <c r="D15" i="5"/>
  <c r="D13" i="5" l="1"/>
  <c r="D12" i="5"/>
  <c r="D6" i="5"/>
  <c r="D7" i="5"/>
  <c r="D8" i="5"/>
  <c r="D9" i="5"/>
  <c r="D10" i="5"/>
  <c r="D11" i="5"/>
  <c r="D14" i="5"/>
  <c r="D17" i="5"/>
  <c r="D29" i="5"/>
  <c r="D30" i="5"/>
  <c r="D31" i="5"/>
  <c r="D32" i="5"/>
  <c r="D33" i="5"/>
  <c r="D34" i="5"/>
  <c r="D35" i="5"/>
  <c r="D36" i="5"/>
  <c r="D37" i="5"/>
  <c r="D38" i="5"/>
  <c r="D39" i="5"/>
  <c r="D40" i="5"/>
  <c r="D41" i="5"/>
  <c r="D44" i="5"/>
  <c r="D45" i="5"/>
  <c r="D46" i="5"/>
  <c r="D50" i="5"/>
  <c r="D51" i="5"/>
  <c r="D52" i="5"/>
  <c r="D53" i="5"/>
  <c r="D54" i="5"/>
  <c r="D55" i="5"/>
  <c r="D56" i="5"/>
  <c r="D57" i="5"/>
  <c r="D58" i="5"/>
  <c r="D59" i="5"/>
  <c r="D60" i="5"/>
  <c r="D61" i="5"/>
  <c r="D62" i="5"/>
  <c r="D63" i="5"/>
  <c r="D5" i="5"/>
  <c r="D4" i="5"/>
</calcChain>
</file>

<file path=xl/sharedStrings.xml><?xml version="1.0" encoding="utf-8"?>
<sst xmlns="http://schemas.openxmlformats.org/spreadsheetml/2006/main" count="70" uniqueCount="70">
  <si>
    <t>구분</t>
    <phoneticPr fontId="2" type="noConversion"/>
  </si>
  <si>
    <t>HP</t>
    <phoneticPr fontId="2" type="noConversion"/>
  </si>
  <si>
    <t>TN-1000(1,000매) / HL-1110,1210, DCP-1510,1610, MFC-1810,1815,1910</t>
    <phoneticPr fontId="2" type="noConversion"/>
  </si>
  <si>
    <t>TN-2280(2,600매) / MFC-7360,7470,7860, FAX-2840</t>
    <phoneticPr fontId="2" type="noConversion"/>
  </si>
  <si>
    <t>TN-2480(3,000매) / HL-L2385dw, MFC-2715,2770</t>
    <phoneticPr fontId="2" type="noConversion"/>
  </si>
  <si>
    <t>TN-2380(2,600매) / HL-L2360,2365, MFC-L2700d</t>
    <phoneticPr fontId="2" type="noConversion"/>
  </si>
  <si>
    <t xml:space="preserve">  DR-2355 (TN-2380 드럼)  / HL-L2360,2365, MFC-L2700d</t>
    <phoneticPr fontId="2" type="noConversion"/>
  </si>
  <si>
    <t xml:space="preserve">  DR-2455 (TN-2480 드럼) / HL-L2385dw, MFC-L2715dw,2770</t>
    <phoneticPr fontId="2" type="noConversion"/>
  </si>
  <si>
    <t>TN-3290(8,000매)  / HL-5350, MFC-8370</t>
    <phoneticPr fontId="2" type="noConversion"/>
  </si>
  <si>
    <t xml:space="preserve">  DR-3215 (TN-3290 드럼)  / HL-5350, MFC-8370</t>
    <phoneticPr fontId="2" type="noConversion"/>
  </si>
  <si>
    <t>TN-3370(12,000매)  / HL-5450, 6180, MFC-8510, 8910</t>
    <phoneticPr fontId="2" type="noConversion"/>
  </si>
  <si>
    <t xml:space="preserve">  DR-3355 (TN-3370 드럼)  / HL-5450, 6180, MFC-8510, 8910</t>
    <phoneticPr fontId="2" type="noConversion"/>
  </si>
  <si>
    <t xml:space="preserve">  DR-3455 (TN-3478 드럼)  / HL-L5100, 5200, 6400, MFC-L5700, 6900</t>
    <phoneticPr fontId="2" type="noConversion"/>
  </si>
  <si>
    <t>TN-3478(12,000매)  / HL-L5100, 5200, 6400, MFC-L5700, 6900</t>
    <phoneticPr fontId="2" type="noConversion"/>
  </si>
  <si>
    <t>품    명</t>
    <phoneticPr fontId="2" type="noConversion"/>
  </si>
  <si>
    <t>MLT-101s  // 2160, 2162, 2164, 2165, 2168, 3400, 3405, 760P</t>
    <phoneticPr fontId="2" type="noConversion"/>
  </si>
  <si>
    <t>MLT-105L(2.5k)  // 650, 1910, 1915, 1916, 2525, 2540, 2580, 4600, 4622, 4623</t>
    <phoneticPr fontId="2" type="noConversion"/>
  </si>
  <si>
    <t>MLT-111s (신형)  // 2020, 2021, 2022, 2024, 2028, 2070, 2071, 2074, 2078</t>
    <phoneticPr fontId="2" type="noConversion"/>
  </si>
  <si>
    <t>MLT-115s  // 2620, 2670, 2820, 2870</t>
    <phoneticPr fontId="2" type="noConversion"/>
  </si>
  <si>
    <t>HP-1010(Q2612A)/CRG-303/FX9  // 1010, 1012, 3015, 3020, 3030</t>
    <phoneticPr fontId="2" type="noConversion"/>
  </si>
  <si>
    <t>HP-2035(CE505A)/CRG-319  // P2035,2055, LBP6300,6303,5873,5870</t>
    <phoneticPr fontId="2" type="noConversion"/>
  </si>
  <si>
    <t>HP-2035(CE505X)/CRG-319II  // P2055, LBP6300,6303,6650,6653</t>
    <phoneticPr fontId="2" type="noConversion"/>
  </si>
  <si>
    <t>CE-278/CRG-326/CRG-328  // 4410,4450,4580,4553,4420,4890,4876,4774,4750</t>
    <phoneticPr fontId="2" type="noConversion"/>
  </si>
  <si>
    <t>CE-285/CRG-325  // P1102,1132,1213,1212,1136, LBP6003,6000,3010,3014</t>
    <phoneticPr fontId="2" type="noConversion"/>
  </si>
  <si>
    <t>CF-283X/CRG-337  // MF211,215,216,217,221,223,226,229</t>
    <phoneticPr fontId="2" type="noConversion"/>
  </si>
  <si>
    <t xml:space="preserve">  DR-1000 (TN-1000 드럼) / HL-1110,1210, DCP-1510,1610, MFC-1810,1815,1910</t>
    <phoneticPr fontId="2" type="noConversion"/>
  </si>
  <si>
    <t>삼   성</t>
    <phoneticPr fontId="2" type="noConversion"/>
  </si>
  <si>
    <t>교  세  라</t>
    <phoneticPr fontId="2" type="noConversion"/>
  </si>
  <si>
    <t>브  라  더</t>
    <phoneticPr fontId="2" type="noConversion"/>
  </si>
  <si>
    <t>TK-7109K (32K)  // 3010i</t>
    <phoneticPr fontId="2" type="noConversion"/>
  </si>
  <si>
    <t>TK-164K (2.5K)  // fs-1120</t>
    <phoneticPr fontId="2" type="noConversion"/>
  </si>
  <si>
    <t>TK-174K (7.2K)  // fs-1370</t>
    <phoneticPr fontId="2" type="noConversion"/>
  </si>
  <si>
    <t>TK-1134K (3K)  // mfc-1130</t>
    <phoneticPr fontId="2" type="noConversion"/>
  </si>
  <si>
    <t>TK-1134K (7.2K)  // mfc-1130</t>
    <phoneticPr fontId="2" type="noConversion"/>
  </si>
  <si>
    <t>TK-7209K (32K)  // 3510i</t>
    <phoneticPr fontId="2" type="noConversion"/>
  </si>
  <si>
    <t>TK-7119K (32K)  // 3011i</t>
    <phoneticPr fontId="2" type="noConversion"/>
  </si>
  <si>
    <t>TK-7120K (32K)  // 3212i</t>
    <phoneticPr fontId="2" type="noConversion"/>
  </si>
  <si>
    <t>TK-1158K (3K)  // P2235dn</t>
    <phoneticPr fontId="2" type="noConversion"/>
  </si>
  <si>
    <t>TK-1188K (3K)  // M2635dn</t>
    <phoneticPr fontId="2" type="noConversion"/>
  </si>
  <si>
    <t>TK-899K/C/M/Y (B:18K / C:12K)  // 8520ci, 8525ci</t>
    <phoneticPr fontId="2" type="noConversion"/>
  </si>
  <si>
    <t>TK-8319K/C/M/Y (B:18K / C:12K)  // 2550ci</t>
    <phoneticPr fontId="2" type="noConversion"/>
  </si>
  <si>
    <t>TK-8329K/C/M/Y (B:18K / C:12K)  // 2551ci</t>
    <phoneticPr fontId="2" type="noConversion"/>
  </si>
  <si>
    <t>TK-8349K/C/M/Y (B:30K / C:20K)  // 2552ci, 2553ci</t>
    <phoneticPr fontId="2" type="noConversion"/>
  </si>
  <si>
    <t>CF-276A / CRG-057 무칩</t>
    <phoneticPr fontId="2" type="noConversion"/>
  </si>
  <si>
    <t>MLT-K200L(1.5k) // SL-M2030/M2030W/M2035/M2035W/M2080/M2085</t>
    <phoneticPr fontId="2" type="noConversion"/>
  </si>
  <si>
    <t>MLT-K250L(3k) // SL-M2630/M2630ND/M2840ND/M2840DW/M2843DW/M2680N</t>
    <phoneticPr fontId="2" type="noConversion"/>
  </si>
  <si>
    <t>CLT-510(B/C/M/Y) // SL-C510/C513/C510W/C513W/C563W/C563FW</t>
    <phoneticPr fontId="2" type="noConversion"/>
  </si>
  <si>
    <t>CLT-515(B/C/M/Y) // SL-C515/C515W/C565W/C565FW</t>
    <phoneticPr fontId="2" type="noConversion"/>
  </si>
  <si>
    <t>CF-400A(B/C/M/Y) / CRG-045(B/C/M/Y)</t>
    <phoneticPr fontId="2" type="noConversion"/>
  </si>
  <si>
    <t>CF-500X(B/C/M/Y) / CRG-054H(B/C/M/Y)</t>
    <phoneticPr fontId="2" type="noConversion"/>
  </si>
  <si>
    <t>TK-5144 (B:7K / CMY:5K) //</t>
    <phoneticPr fontId="2" type="noConversion"/>
  </si>
  <si>
    <t>TK-5234 (B:6K / CMY:4K)  // P5021,M5521cdn</t>
    <phoneticPr fontId="2" type="noConversion"/>
  </si>
  <si>
    <t>TK-5244 (B:6K / CMY:4K) // P5026,M5526cdn</t>
    <phoneticPr fontId="2" type="noConversion"/>
  </si>
  <si>
    <t>TK-1168K (7.2K)  // P2040dn</t>
    <phoneticPr fontId="2" type="noConversion"/>
  </si>
  <si>
    <t>TK-1178K (7.2K)  // M2540dn</t>
    <phoneticPr fontId="2" type="noConversion"/>
  </si>
  <si>
    <t>TK-479K (20K)  // 6525,6530</t>
    <phoneticPr fontId="2" type="noConversion"/>
  </si>
  <si>
    <t xml:space="preserve">  DR-2255 (TN-2280 드럼) / MFC-7360,7470,7860, FAX-2840</t>
    <phoneticPr fontId="2" type="noConversion"/>
  </si>
  <si>
    <t>대리점(별도)</t>
    <phoneticPr fontId="2" type="noConversion"/>
  </si>
  <si>
    <t>대리점(포함)</t>
    <phoneticPr fontId="2" type="noConversion"/>
  </si>
  <si>
    <t>위더스본사(별도)</t>
    <phoneticPr fontId="2" type="noConversion"/>
  </si>
  <si>
    <t>위더스본사(포함)</t>
    <phoneticPr fontId="2" type="noConversion"/>
  </si>
  <si>
    <t>CLT-403(B/C/M/Y)  // C435, 436, 485, 486</t>
    <phoneticPr fontId="2" type="noConversion"/>
  </si>
  <si>
    <t>CLT-404(B/C/M/Y)  // C482, 430, 432, 483, 433</t>
    <phoneticPr fontId="2" type="noConversion"/>
  </si>
  <si>
    <t>CLT-405(B/C/M/Y)  // C420, 422, 423, 470, 472, 473</t>
    <phoneticPr fontId="2" type="noConversion"/>
  </si>
  <si>
    <t>CLT-406(B/C/M/Y)  // 360, 362, 363, 364, 365, 3300, 3302, 3305, C460, 462, 467</t>
    <phoneticPr fontId="2" type="noConversion"/>
  </si>
  <si>
    <t>문의전화 : Tel. 010-4585-6890   한별시스템</t>
    <phoneticPr fontId="2" type="noConversion"/>
  </si>
  <si>
    <t>사양표에 없는 토너는 따로 문의 부탁드립니다.</t>
    <phoneticPr fontId="2" type="noConversion"/>
  </si>
  <si>
    <t>CF-289A / CRG-056 무칩</t>
    <phoneticPr fontId="2" type="noConversion"/>
  </si>
  <si>
    <t>CF-289X / CRG-056L 무칩</t>
    <phoneticPr fontId="2" type="noConversion"/>
  </si>
  <si>
    <t>재생토너 단가표       (2022.9월) 기준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</si>
</sst>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10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sz val="10"/>
      <name val="돋움"/>
      <family val="3"/>
      <charset val="129"/>
    </font>
    <font>
      <sz val="9"/>
      <name val="돋움"/>
      <family val="3"/>
      <charset val="129"/>
    </font>
    <font>
      <b/>
      <sz val="16"/>
      <name val="Adobe 고딕 Std B"/>
      <family val="2"/>
      <charset val="129"/>
    </font>
    <font>
      <sz val="12"/>
      <name val="돋움"/>
      <family val="3"/>
      <charset val="129"/>
    </font>
    <font>
      <b/>
      <sz val="20"/>
      <color indexed="9"/>
      <name val="HY헤드라인M"/>
      <family val="1"/>
      <charset val="129"/>
    </font>
    <font>
      <b/>
      <sz val="10"/>
      <name val="굴림"/>
      <family val="3"/>
      <charset val="129"/>
    </font>
    <font>
      <b/>
      <sz val="11"/>
      <name val="굴림"/>
      <family val="3"/>
      <charset val="129"/>
    </font>
  </fonts>
  <fills count="5">
    <fill>
      <patternFill patternType="none"/>
    </fill>
    <fill>
      <patternFill patternType="gray125"/>
    </fill>
    <fill>
      <patternFill patternType="solid">
        <fgColor indexed="5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3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53">
    <xf numFmtId="0" fontId="0" fillId="0" borderId="0" xfId="0">
      <alignment vertical="center"/>
    </xf>
    <xf numFmtId="0" fontId="3" fillId="0" borderId="0" xfId="0" applyFont="1">
      <alignment vertical="center"/>
    </xf>
    <xf numFmtId="0" fontId="4" fillId="0" borderId="0" xfId="0" applyFont="1">
      <alignment vertical="center"/>
    </xf>
    <xf numFmtId="41" fontId="0" fillId="0" borderId="0" xfId="1" applyFont="1">
      <alignment vertical="center"/>
    </xf>
    <xf numFmtId="41" fontId="3" fillId="0" borderId="0" xfId="1" applyFont="1">
      <alignment vertical="center"/>
    </xf>
    <xf numFmtId="0" fontId="6" fillId="0" borderId="0" xfId="0" applyFont="1">
      <alignment vertical="center"/>
    </xf>
    <xf numFmtId="41" fontId="0" fillId="3" borderId="0" xfId="1" applyFont="1" applyFill="1">
      <alignment vertical="center"/>
    </xf>
    <xf numFmtId="41" fontId="0" fillId="0" borderId="15" xfId="1" applyFont="1" applyBorder="1">
      <alignment vertical="center"/>
    </xf>
    <xf numFmtId="41" fontId="0" fillId="3" borderId="0" xfId="1" applyFont="1" applyFill="1" applyBorder="1">
      <alignment vertical="center"/>
    </xf>
    <xf numFmtId="41" fontId="0" fillId="3" borderId="16" xfId="1" applyFont="1" applyFill="1" applyBorder="1">
      <alignment vertical="center"/>
    </xf>
    <xf numFmtId="41" fontId="3" fillId="0" borderId="0" xfId="1" applyFont="1" applyBorder="1">
      <alignment vertical="center"/>
    </xf>
    <xf numFmtId="41" fontId="8" fillId="0" borderId="17" xfId="1" applyFont="1" applyBorder="1" applyAlignment="1">
      <alignment horizontal="center" vertical="center"/>
    </xf>
    <xf numFmtId="41" fontId="8" fillId="3" borderId="18" xfId="1" applyFont="1" applyFill="1" applyBorder="1" applyAlignment="1">
      <alignment horizontal="center" vertical="center"/>
    </xf>
    <xf numFmtId="41" fontId="8" fillId="3" borderId="20" xfId="1" applyFont="1" applyFill="1" applyBorder="1" applyAlignment="1">
      <alignment horizontal="center" vertical="center"/>
    </xf>
    <xf numFmtId="41" fontId="8" fillId="3" borderId="21" xfId="1" applyFont="1" applyFill="1" applyBorder="1" applyAlignment="1">
      <alignment horizontal="center" vertical="center"/>
    </xf>
    <xf numFmtId="41" fontId="8" fillId="3" borderId="3" xfId="1" applyFont="1" applyFill="1" applyBorder="1">
      <alignment vertical="center"/>
    </xf>
    <xf numFmtId="41" fontId="9" fillId="3" borderId="22" xfId="1" applyFont="1" applyFill="1" applyBorder="1">
      <alignment vertical="center"/>
    </xf>
    <xf numFmtId="41" fontId="9" fillId="3" borderId="3" xfId="1" applyFont="1" applyFill="1" applyBorder="1">
      <alignment vertical="center"/>
    </xf>
    <xf numFmtId="41" fontId="9" fillId="3" borderId="23" xfId="1" applyFont="1" applyFill="1" applyBorder="1">
      <alignment vertical="center"/>
    </xf>
    <xf numFmtId="41" fontId="8" fillId="3" borderId="1" xfId="1" applyFont="1" applyFill="1" applyBorder="1">
      <alignment vertical="center"/>
    </xf>
    <xf numFmtId="41" fontId="9" fillId="3" borderId="24" xfId="1" applyFont="1" applyFill="1" applyBorder="1">
      <alignment vertical="center"/>
    </xf>
    <xf numFmtId="41" fontId="9" fillId="3" borderId="1" xfId="1" applyFont="1" applyFill="1" applyBorder="1">
      <alignment vertical="center"/>
    </xf>
    <xf numFmtId="41" fontId="9" fillId="3" borderId="25" xfId="1" applyFont="1" applyFill="1" applyBorder="1">
      <alignment vertical="center"/>
    </xf>
    <xf numFmtId="41" fontId="8" fillId="4" borderId="1" xfId="1" applyFont="1" applyFill="1" applyBorder="1">
      <alignment vertical="center"/>
    </xf>
    <xf numFmtId="41" fontId="9" fillId="4" borderId="24" xfId="1" applyFont="1" applyFill="1" applyBorder="1">
      <alignment vertical="center"/>
    </xf>
    <xf numFmtId="41" fontId="9" fillId="4" borderId="1" xfId="1" applyFont="1" applyFill="1" applyBorder="1">
      <alignment vertical="center"/>
    </xf>
    <xf numFmtId="41" fontId="9" fillId="4" borderId="25" xfId="1" applyFont="1" applyFill="1" applyBorder="1">
      <alignment vertical="center"/>
    </xf>
    <xf numFmtId="41" fontId="8" fillId="3" borderId="2" xfId="1" applyFont="1" applyFill="1" applyBorder="1">
      <alignment vertical="center"/>
    </xf>
    <xf numFmtId="41" fontId="9" fillId="3" borderId="30" xfId="1" applyFont="1" applyFill="1" applyBorder="1">
      <alignment vertical="center"/>
    </xf>
    <xf numFmtId="41" fontId="9" fillId="3" borderId="2" xfId="1" applyFont="1" applyFill="1" applyBorder="1">
      <alignment vertical="center"/>
    </xf>
    <xf numFmtId="41" fontId="9" fillId="3" borderId="31" xfId="1" applyFont="1" applyFill="1" applyBorder="1">
      <alignment vertical="center"/>
    </xf>
    <xf numFmtId="41" fontId="8" fillId="3" borderId="6" xfId="1" applyFont="1" applyFill="1" applyBorder="1">
      <alignment vertical="center"/>
    </xf>
    <xf numFmtId="41" fontId="9" fillId="3" borderId="26" xfId="1" applyFont="1" applyFill="1" applyBorder="1">
      <alignment vertical="center"/>
    </xf>
    <xf numFmtId="41" fontId="9" fillId="3" borderId="6" xfId="1" applyFont="1" applyFill="1" applyBorder="1">
      <alignment vertical="center"/>
    </xf>
    <xf numFmtId="41" fontId="9" fillId="3" borderId="27" xfId="1" applyFont="1" applyFill="1" applyBorder="1">
      <alignment vertical="center"/>
    </xf>
    <xf numFmtId="41" fontId="8" fillId="3" borderId="9" xfId="1" applyFont="1" applyFill="1" applyBorder="1">
      <alignment vertical="center"/>
    </xf>
    <xf numFmtId="41" fontId="9" fillId="3" borderId="28" xfId="1" applyFont="1" applyFill="1" applyBorder="1">
      <alignment vertical="center"/>
    </xf>
    <xf numFmtId="41" fontId="9" fillId="3" borderId="9" xfId="1" applyFont="1" applyFill="1" applyBorder="1">
      <alignment vertical="center"/>
    </xf>
    <xf numFmtId="41" fontId="9" fillId="3" borderId="29" xfId="1" applyFont="1" applyFill="1" applyBorder="1">
      <alignment vertical="center"/>
    </xf>
    <xf numFmtId="41" fontId="8" fillId="4" borderId="2" xfId="1" applyFont="1" applyFill="1" applyBorder="1">
      <alignment vertical="center"/>
    </xf>
    <xf numFmtId="41" fontId="8" fillId="4" borderId="19" xfId="1" applyFont="1" applyFill="1" applyBorder="1">
      <alignment vertical="center"/>
    </xf>
    <xf numFmtId="41" fontId="9" fillId="4" borderId="30" xfId="1" applyFont="1" applyFill="1" applyBorder="1">
      <alignment vertical="center"/>
    </xf>
    <xf numFmtId="41" fontId="9" fillId="4" borderId="2" xfId="1" applyFont="1" applyFill="1" applyBorder="1">
      <alignment vertical="center"/>
    </xf>
    <xf numFmtId="41" fontId="9" fillId="4" borderId="31" xfId="1" applyFont="1" applyFill="1" applyBorder="1">
      <alignment vertical="center"/>
    </xf>
    <xf numFmtId="41" fontId="7" fillId="2" borderId="13" xfId="1" applyFont="1" applyFill="1" applyBorder="1" applyAlignment="1">
      <alignment horizontal="center" vertical="center" shrinkToFit="1"/>
    </xf>
    <xf numFmtId="41" fontId="7" fillId="2" borderId="7" xfId="1" applyFont="1" applyFill="1" applyBorder="1" applyAlignment="1">
      <alignment horizontal="center" vertical="center" shrinkToFit="1"/>
    </xf>
    <xf numFmtId="41" fontId="7" fillId="2" borderId="14" xfId="1" applyFont="1" applyFill="1" applyBorder="1" applyAlignment="1">
      <alignment horizontal="center" vertical="center" shrinkToFit="1"/>
    </xf>
    <xf numFmtId="41" fontId="5" fillId="0" borderId="10" xfId="1" applyFont="1" applyBorder="1" applyAlignment="1">
      <alignment horizontal="center" vertical="center" wrapText="1"/>
    </xf>
    <xf numFmtId="41" fontId="5" fillId="0" borderId="11" xfId="1" applyFont="1" applyBorder="1" applyAlignment="1">
      <alignment horizontal="center" vertical="center"/>
    </xf>
    <xf numFmtId="41" fontId="5" fillId="0" borderId="12" xfId="1" applyFont="1" applyBorder="1" applyAlignment="1">
      <alignment horizontal="center" vertical="center"/>
    </xf>
    <xf numFmtId="41" fontId="8" fillId="0" borderId="8" xfId="1" applyFont="1" applyBorder="1" applyAlignment="1">
      <alignment horizontal="center" vertical="center" textRotation="255"/>
    </xf>
    <xf numFmtId="41" fontId="8" fillId="0" borderId="4" xfId="1" applyFont="1" applyBorder="1" applyAlignment="1">
      <alignment horizontal="center" vertical="center" textRotation="255"/>
    </xf>
    <xf numFmtId="41" fontId="8" fillId="0" borderId="5" xfId="1" applyFont="1" applyBorder="1" applyAlignment="1">
      <alignment horizontal="center" vertical="center" textRotation="255"/>
    </xf>
  </cellXfs>
  <cellStyles count="2">
    <cellStyle name="쉼표 [0]" xfId="1" builtinId="6"/>
    <cellStyle name="표준" xfId="0" builtinId="0"/>
  </cellStyles>
  <dxfs count="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247651</xdr:colOff>
      <xdr:row>65</xdr:row>
      <xdr:rowOff>47625</xdr:rowOff>
    </xdr:from>
    <xdr:to>
      <xdr:col>1</xdr:col>
      <xdr:colOff>457201</xdr:colOff>
      <xdr:row>65</xdr:row>
      <xdr:rowOff>631264</xdr:rowOff>
    </xdr:to>
    <xdr:pic>
      <xdr:nvPicPr>
        <xdr:cNvPr id="6" name="그림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1" y="18297525"/>
          <a:ext cx="533400" cy="58363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6"/>
  <sheetViews>
    <sheetView tabSelected="1"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J6" sqref="J6"/>
    </sheetView>
  </sheetViews>
  <sheetFormatPr defaultRowHeight="13.5"/>
  <cols>
    <col min="1" max="1" width="3.77734375" style="3" customWidth="1"/>
    <col min="2" max="2" width="71" style="4" bestFit="1" customWidth="1"/>
    <col min="3" max="3" width="12.44140625" style="6" hidden="1" customWidth="1"/>
    <col min="4" max="4" width="12.44140625" style="6" bestFit="1" customWidth="1"/>
    <col min="5" max="5" width="15.88671875" style="6" hidden="1" customWidth="1"/>
    <col min="6" max="6" width="15.88671875" style="6" bestFit="1" customWidth="1"/>
  </cols>
  <sheetData>
    <row r="1" spans="1:6" ht="32.25" customHeight="1">
      <c r="A1" s="44" t="s">
        <v>69</v>
      </c>
      <c r="B1" s="45"/>
      <c r="C1" s="45"/>
      <c r="D1" s="45"/>
      <c r="E1" s="45"/>
      <c r="F1" s="46"/>
    </row>
    <row r="2" spans="1:6" ht="9" customHeight="1" thickBot="1">
      <c r="A2" s="7"/>
      <c r="B2" s="10"/>
      <c r="C2" s="8"/>
      <c r="D2" s="8"/>
      <c r="E2" s="8"/>
      <c r="F2" s="9"/>
    </row>
    <row r="3" spans="1:6" s="2" customFormat="1" ht="23.25" customHeight="1" thickBot="1">
      <c r="A3" s="11" t="s">
        <v>0</v>
      </c>
      <c r="B3" s="12" t="s">
        <v>14</v>
      </c>
      <c r="C3" s="13" t="s">
        <v>57</v>
      </c>
      <c r="D3" s="12" t="s">
        <v>58</v>
      </c>
      <c r="E3" s="14" t="s">
        <v>59</v>
      </c>
      <c r="F3" s="14" t="s">
        <v>60</v>
      </c>
    </row>
    <row r="4" spans="1:6" s="5" customFormat="1" ht="22.5" customHeight="1">
      <c r="A4" s="50" t="s">
        <v>26</v>
      </c>
      <c r="B4" s="15" t="s">
        <v>61</v>
      </c>
      <c r="C4" s="16">
        <v>16000</v>
      </c>
      <c r="D4" s="16">
        <f>C4*1.1</f>
        <v>17600</v>
      </c>
      <c r="E4" s="17">
        <v>14000</v>
      </c>
      <c r="F4" s="18">
        <f>E4*1.1</f>
        <v>15400.000000000002</v>
      </c>
    </row>
    <row r="5" spans="1:6" s="5" customFormat="1" ht="22.5" customHeight="1">
      <c r="A5" s="51"/>
      <c r="B5" s="19" t="s">
        <v>62</v>
      </c>
      <c r="C5" s="20">
        <v>16000</v>
      </c>
      <c r="D5" s="20">
        <f>C5*1.1</f>
        <v>17600</v>
      </c>
      <c r="E5" s="21">
        <v>14000</v>
      </c>
      <c r="F5" s="22">
        <f t="shared" ref="F5:F65" si="0">E5*1.1</f>
        <v>15400.000000000002</v>
      </c>
    </row>
    <row r="6" spans="1:6" s="5" customFormat="1" ht="22.5" customHeight="1">
      <c r="A6" s="51"/>
      <c r="B6" s="19" t="s">
        <v>63</v>
      </c>
      <c r="C6" s="20">
        <v>15000</v>
      </c>
      <c r="D6" s="20">
        <f t="shared" ref="D6:D63" si="1">C6*1.1</f>
        <v>16500</v>
      </c>
      <c r="E6" s="21">
        <v>13000</v>
      </c>
      <c r="F6" s="22">
        <f t="shared" si="0"/>
        <v>14300.000000000002</v>
      </c>
    </row>
    <row r="7" spans="1:6" s="5" customFormat="1" ht="22.5" customHeight="1">
      <c r="A7" s="51"/>
      <c r="B7" s="19" t="s">
        <v>64</v>
      </c>
      <c r="C7" s="20">
        <v>15000</v>
      </c>
      <c r="D7" s="20">
        <f t="shared" si="1"/>
        <v>16500</v>
      </c>
      <c r="E7" s="21">
        <v>13000</v>
      </c>
      <c r="F7" s="22">
        <f t="shared" si="0"/>
        <v>14300.000000000002</v>
      </c>
    </row>
    <row r="8" spans="1:6" s="5" customFormat="1" ht="22.5" customHeight="1">
      <c r="A8" s="51"/>
      <c r="B8" s="23" t="s">
        <v>46</v>
      </c>
      <c r="C8" s="24">
        <v>25000</v>
      </c>
      <c r="D8" s="24">
        <f t="shared" si="1"/>
        <v>27500.000000000004</v>
      </c>
      <c r="E8" s="25">
        <v>22000</v>
      </c>
      <c r="F8" s="26">
        <f t="shared" si="0"/>
        <v>24200.000000000004</v>
      </c>
    </row>
    <row r="9" spans="1:6" s="5" customFormat="1" ht="22.5" customHeight="1">
      <c r="A9" s="51"/>
      <c r="B9" s="23" t="s">
        <v>47</v>
      </c>
      <c r="C9" s="24">
        <v>25000</v>
      </c>
      <c r="D9" s="24">
        <f t="shared" si="1"/>
        <v>27500.000000000004</v>
      </c>
      <c r="E9" s="25">
        <v>22000</v>
      </c>
      <c r="F9" s="26">
        <f t="shared" si="0"/>
        <v>24200.000000000004</v>
      </c>
    </row>
    <row r="10" spans="1:6" s="5" customFormat="1" ht="22.5" customHeight="1">
      <c r="A10" s="51"/>
      <c r="B10" s="19" t="s">
        <v>15</v>
      </c>
      <c r="C10" s="20">
        <v>14000</v>
      </c>
      <c r="D10" s="20">
        <f t="shared" si="1"/>
        <v>15400.000000000002</v>
      </c>
      <c r="E10" s="21">
        <v>12000</v>
      </c>
      <c r="F10" s="22">
        <f t="shared" si="0"/>
        <v>13200.000000000002</v>
      </c>
    </row>
    <row r="11" spans="1:6" s="5" customFormat="1" ht="22.5" customHeight="1">
      <c r="A11" s="51"/>
      <c r="B11" s="19" t="s">
        <v>16</v>
      </c>
      <c r="C11" s="20">
        <v>14000</v>
      </c>
      <c r="D11" s="20">
        <f t="shared" si="1"/>
        <v>15400.000000000002</v>
      </c>
      <c r="E11" s="21">
        <v>12000</v>
      </c>
      <c r="F11" s="22">
        <f t="shared" si="0"/>
        <v>13200.000000000002</v>
      </c>
    </row>
    <row r="12" spans="1:6" s="5" customFormat="1" ht="22.5" customHeight="1">
      <c r="A12" s="51"/>
      <c r="B12" s="19" t="s">
        <v>17</v>
      </c>
      <c r="C12" s="20">
        <v>15000</v>
      </c>
      <c r="D12" s="20">
        <f t="shared" ref="D12:D13" si="2">C12*1.1</f>
        <v>16500</v>
      </c>
      <c r="E12" s="21">
        <v>13000</v>
      </c>
      <c r="F12" s="22">
        <f t="shared" si="0"/>
        <v>14300.000000000002</v>
      </c>
    </row>
    <row r="13" spans="1:6" s="5" customFormat="1" ht="22.5" customHeight="1">
      <c r="A13" s="51"/>
      <c r="B13" s="19" t="s">
        <v>18</v>
      </c>
      <c r="C13" s="20">
        <v>15000</v>
      </c>
      <c r="D13" s="20">
        <f t="shared" si="2"/>
        <v>16500</v>
      </c>
      <c r="E13" s="21">
        <v>13000</v>
      </c>
      <c r="F13" s="22">
        <f t="shared" si="0"/>
        <v>14300.000000000002</v>
      </c>
    </row>
    <row r="14" spans="1:6" s="5" customFormat="1" ht="22.5" customHeight="1">
      <c r="A14" s="51"/>
      <c r="B14" s="23" t="s">
        <v>44</v>
      </c>
      <c r="C14" s="24">
        <v>25000</v>
      </c>
      <c r="D14" s="24">
        <f t="shared" si="1"/>
        <v>27500.000000000004</v>
      </c>
      <c r="E14" s="25">
        <v>22000</v>
      </c>
      <c r="F14" s="26">
        <f t="shared" si="0"/>
        <v>24200.000000000004</v>
      </c>
    </row>
    <row r="15" spans="1:6" s="5" customFormat="1" ht="22.5" customHeight="1">
      <c r="A15" s="51"/>
      <c r="B15" s="23" t="s">
        <v>45</v>
      </c>
      <c r="C15" s="24">
        <v>27000</v>
      </c>
      <c r="D15" s="24">
        <f t="shared" ref="D15" si="3">C15*1.1</f>
        <v>29700.000000000004</v>
      </c>
      <c r="E15" s="25">
        <v>24000</v>
      </c>
      <c r="F15" s="26">
        <f t="shared" si="0"/>
        <v>26400.000000000004</v>
      </c>
    </row>
    <row r="16" spans="1:6" s="5" customFormat="1" ht="22.5" customHeight="1" thickBot="1">
      <c r="A16" s="52"/>
      <c r="B16" s="27"/>
      <c r="C16" s="28"/>
      <c r="D16" s="28"/>
      <c r="E16" s="29"/>
      <c r="F16" s="30">
        <f t="shared" si="0"/>
        <v>0</v>
      </c>
    </row>
    <row r="17" spans="1:6" s="5" customFormat="1" ht="22.5" customHeight="1">
      <c r="A17" s="50" t="s">
        <v>1</v>
      </c>
      <c r="B17" s="15" t="s">
        <v>19</v>
      </c>
      <c r="C17" s="16">
        <v>7500</v>
      </c>
      <c r="D17" s="16">
        <f t="shared" si="1"/>
        <v>8250</v>
      </c>
      <c r="E17" s="17">
        <v>6500</v>
      </c>
      <c r="F17" s="18">
        <f t="shared" si="0"/>
        <v>7150.0000000000009</v>
      </c>
    </row>
    <row r="18" spans="1:6" s="5" customFormat="1" ht="22.5" customHeight="1">
      <c r="A18" s="51"/>
      <c r="B18" s="19" t="s">
        <v>20</v>
      </c>
      <c r="C18" s="20">
        <v>11000</v>
      </c>
      <c r="D18" s="20">
        <f t="shared" ref="D18:D23" si="4">C18*1.1</f>
        <v>12100.000000000002</v>
      </c>
      <c r="E18" s="21">
        <v>10000</v>
      </c>
      <c r="F18" s="22">
        <f t="shared" si="0"/>
        <v>11000</v>
      </c>
    </row>
    <row r="19" spans="1:6" s="5" customFormat="1" ht="22.5" customHeight="1">
      <c r="A19" s="51"/>
      <c r="B19" s="19" t="s">
        <v>21</v>
      </c>
      <c r="C19" s="20">
        <v>14000</v>
      </c>
      <c r="D19" s="20">
        <f t="shared" si="4"/>
        <v>15400.000000000002</v>
      </c>
      <c r="E19" s="21">
        <v>13000</v>
      </c>
      <c r="F19" s="22">
        <f t="shared" si="0"/>
        <v>14300.000000000002</v>
      </c>
    </row>
    <row r="20" spans="1:6" s="5" customFormat="1" ht="22.5" customHeight="1">
      <c r="A20" s="51"/>
      <c r="B20" s="19" t="s">
        <v>22</v>
      </c>
      <c r="C20" s="20">
        <v>8000</v>
      </c>
      <c r="D20" s="20">
        <f t="shared" si="4"/>
        <v>8800</v>
      </c>
      <c r="E20" s="21">
        <v>7000</v>
      </c>
      <c r="F20" s="22">
        <f t="shared" si="0"/>
        <v>7700.0000000000009</v>
      </c>
    </row>
    <row r="21" spans="1:6" s="5" customFormat="1" ht="22.5" customHeight="1">
      <c r="A21" s="51"/>
      <c r="B21" s="19" t="s">
        <v>23</v>
      </c>
      <c r="C21" s="20">
        <v>8000</v>
      </c>
      <c r="D21" s="20">
        <f t="shared" si="4"/>
        <v>8800</v>
      </c>
      <c r="E21" s="21">
        <v>7000</v>
      </c>
      <c r="F21" s="22">
        <f t="shared" si="0"/>
        <v>7700.0000000000009</v>
      </c>
    </row>
    <row r="22" spans="1:6" s="5" customFormat="1" ht="22.5" customHeight="1">
      <c r="A22" s="51"/>
      <c r="B22" s="19" t="s">
        <v>24</v>
      </c>
      <c r="C22" s="20">
        <v>9500</v>
      </c>
      <c r="D22" s="20">
        <f t="shared" si="4"/>
        <v>10450</v>
      </c>
      <c r="E22" s="21">
        <v>8500</v>
      </c>
      <c r="F22" s="22">
        <f t="shared" si="0"/>
        <v>9350</v>
      </c>
    </row>
    <row r="23" spans="1:6" s="5" customFormat="1" ht="22.5" customHeight="1">
      <c r="A23" s="51"/>
      <c r="B23" s="40" t="s">
        <v>67</v>
      </c>
      <c r="C23" s="41">
        <v>17000</v>
      </c>
      <c r="D23" s="41">
        <f t="shared" si="4"/>
        <v>18700</v>
      </c>
      <c r="E23" s="42">
        <v>15000</v>
      </c>
      <c r="F23" s="43">
        <f t="shared" si="0"/>
        <v>16500</v>
      </c>
    </row>
    <row r="24" spans="1:6" s="5" customFormat="1" ht="22.5" customHeight="1">
      <c r="A24" s="51"/>
      <c r="B24" s="23" t="s">
        <v>68</v>
      </c>
      <c r="C24" s="24">
        <v>22000</v>
      </c>
      <c r="D24" s="24">
        <f t="shared" ref="D24" si="5">C24*1.1</f>
        <v>24200.000000000004</v>
      </c>
      <c r="E24" s="25">
        <v>19000</v>
      </c>
      <c r="F24" s="26">
        <f t="shared" ref="F24" si="6">E24*1.1</f>
        <v>20900</v>
      </c>
    </row>
    <row r="25" spans="1:6" s="5" customFormat="1" ht="22.5" customHeight="1">
      <c r="A25" s="51"/>
      <c r="B25" s="23" t="s">
        <v>43</v>
      </c>
      <c r="C25" s="24">
        <v>15000</v>
      </c>
      <c r="D25" s="24">
        <f t="shared" ref="D25:D27" si="7">C25*1.1</f>
        <v>16500</v>
      </c>
      <c r="E25" s="25">
        <v>13000</v>
      </c>
      <c r="F25" s="26">
        <f t="shared" si="0"/>
        <v>14300.000000000002</v>
      </c>
    </row>
    <row r="26" spans="1:6" s="5" customFormat="1" ht="22.5" customHeight="1">
      <c r="A26" s="51"/>
      <c r="B26" s="23" t="s">
        <v>48</v>
      </c>
      <c r="C26" s="24">
        <v>16000</v>
      </c>
      <c r="D26" s="24">
        <f t="shared" si="7"/>
        <v>17600</v>
      </c>
      <c r="E26" s="25">
        <v>14000</v>
      </c>
      <c r="F26" s="26">
        <f t="shared" si="0"/>
        <v>15400.000000000002</v>
      </c>
    </row>
    <row r="27" spans="1:6" s="5" customFormat="1" ht="22.5" customHeight="1">
      <c r="A27" s="51"/>
      <c r="B27" s="23" t="s">
        <v>49</v>
      </c>
      <c r="C27" s="24">
        <v>16000</v>
      </c>
      <c r="D27" s="24">
        <f t="shared" si="7"/>
        <v>17600</v>
      </c>
      <c r="E27" s="25">
        <v>14000</v>
      </c>
      <c r="F27" s="26">
        <f t="shared" si="0"/>
        <v>15400.000000000002</v>
      </c>
    </row>
    <row r="28" spans="1:6" s="5" customFormat="1" ht="22.5" customHeight="1" thickBot="1">
      <c r="A28" s="52"/>
      <c r="B28" s="31"/>
      <c r="C28" s="32"/>
      <c r="D28" s="32"/>
      <c r="E28" s="33"/>
      <c r="F28" s="34">
        <f t="shared" si="0"/>
        <v>0</v>
      </c>
    </row>
    <row r="29" spans="1:6" s="5" customFormat="1" ht="22.5" customHeight="1">
      <c r="A29" s="51" t="s">
        <v>27</v>
      </c>
      <c r="B29" s="35" t="s">
        <v>55</v>
      </c>
      <c r="C29" s="36">
        <v>37000</v>
      </c>
      <c r="D29" s="36">
        <f t="shared" si="1"/>
        <v>40700</v>
      </c>
      <c r="E29" s="37">
        <v>35000</v>
      </c>
      <c r="F29" s="38">
        <f t="shared" si="0"/>
        <v>38500</v>
      </c>
    </row>
    <row r="30" spans="1:6" s="5" customFormat="1" ht="22.5" customHeight="1">
      <c r="A30" s="51"/>
      <c r="B30" s="19" t="s">
        <v>30</v>
      </c>
      <c r="C30" s="20">
        <v>10000</v>
      </c>
      <c r="D30" s="20">
        <f t="shared" si="1"/>
        <v>11000</v>
      </c>
      <c r="E30" s="21">
        <v>9000</v>
      </c>
      <c r="F30" s="22">
        <f t="shared" si="0"/>
        <v>9900</v>
      </c>
    </row>
    <row r="31" spans="1:6" s="5" customFormat="1" ht="22.5" customHeight="1">
      <c r="A31" s="51"/>
      <c r="B31" s="19" t="s">
        <v>31</v>
      </c>
      <c r="C31" s="20">
        <v>13000</v>
      </c>
      <c r="D31" s="20">
        <f t="shared" si="1"/>
        <v>14300.000000000002</v>
      </c>
      <c r="E31" s="21">
        <v>11000</v>
      </c>
      <c r="F31" s="22">
        <f t="shared" si="0"/>
        <v>12100.000000000002</v>
      </c>
    </row>
    <row r="32" spans="1:6" s="5" customFormat="1" ht="22.5" customHeight="1">
      <c r="A32" s="51"/>
      <c r="B32" s="19" t="s">
        <v>32</v>
      </c>
      <c r="C32" s="20">
        <v>9000</v>
      </c>
      <c r="D32" s="20">
        <f t="shared" si="1"/>
        <v>9900</v>
      </c>
      <c r="E32" s="21">
        <v>8000</v>
      </c>
      <c r="F32" s="22">
        <f t="shared" si="0"/>
        <v>8800</v>
      </c>
    </row>
    <row r="33" spans="1:6" s="5" customFormat="1" ht="22.5" customHeight="1">
      <c r="A33" s="51"/>
      <c r="B33" s="19" t="s">
        <v>33</v>
      </c>
      <c r="C33" s="20">
        <v>15000</v>
      </c>
      <c r="D33" s="20">
        <f t="shared" si="1"/>
        <v>16500</v>
      </c>
      <c r="E33" s="21">
        <v>13000</v>
      </c>
      <c r="F33" s="22">
        <f t="shared" si="0"/>
        <v>14300.000000000002</v>
      </c>
    </row>
    <row r="34" spans="1:6" s="5" customFormat="1" ht="22.5" customHeight="1">
      <c r="A34" s="51"/>
      <c r="B34" s="19" t="s">
        <v>29</v>
      </c>
      <c r="C34" s="20">
        <v>55000</v>
      </c>
      <c r="D34" s="20">
        <f t="shared" si="1"/>
        <v>60500.000000000007</v>
      </c>
      <c r="E34" s="21">
        <v>50000</v>
      </c>
      <c r="F34" s="22">
        <f t="shared" si="0"/>
        <v>55000.000000000007</v>
      </c>
    </row>
    <row r="35" spans="1:6" s="5" customFormat="1" ht="22.5" customHeight="1">
      <c r="A35" s="51"/>
      <c r="B35" s="19" t="s">
        <v>34</v>
      </c>
      <c r="C35" s="20">
        <v>55000</v>
      </c>
      <c r="D35" s="20">
        <f t="shared" si="1"/>
        <v>60500.000000000007</v>
      </c>
      <c r="E35" s="21">
        <v>50000</v>
      </c>
      <c r="F35" s="22">
        <f t="shared" si="0"/>
        <v>55000.000000000007</v>
      </c>
    </row>
    <row r="36" spans="1:6" s="5" customFormat="1" ht="22.5" customHeight="1">
      <c r="A36" s="51"/>
      <c r="B36" s="19" t="s">
        <v>35</v>
      </c>
      <c r="C36" s="20">
        <v>55000</v>
      </c>
      <c r="D36" s="20">
        <f t="shared" si="1"/>
        <v>60500.000000000007</v>
      </c>
      <c r="E36" s="21">
        <v>50000</v>
      </c>
      <c r="F36" s="22">
        <f t="shared" si="0"/>
        <v>55000.000000000007</v>
      </c>
    </row>
    <row r="37" spans="1:6" s="5" customFormat="1" ht="22.5" customHeight="1">
      <c r="A37" s="51"/>
      <c r="B37" s="19" t="s">
        <v>36</v>
      </c>
      <c r="C37" s="20">
        <v>55000</v>
      </c>
      <c r="D37" s="20">
        <f t="shared" si="1"/>
        <v>60500.000000000007</v>
      </c>
      <c r="E37" s="21">
        <v>50000</v>
      </c>
      <c r="F37" s="22">
        <f t="shared" si="0"/>
        <v>55000.000000000007</v>
      </c>
    </row>
    <row r="38" spans="1:6" s="5" customFormat="1" ht="22.5" customHeight="1">
      <c r="A38" s="51"/>
      <c r="B38" s="19" t="s">
        <v>39</v>
      </c>
      <c r="C38" s="20">
        <v>45000</v>
      </c>
      <c r="D38" s="20">
        <f t="shared" si="1"/>
        <v>49500.000000000007</v>
      </c>
      <c r="E38" s="21">
        <v>40000</v>
      </c>
      <c r="F38" s="22">
        <f t="shared" si="0"/>
        <v>44000</v>
      </c>
    </row>
    <row r="39" spans="1:6" s="5" customFormat="1" ht="22.5" customHeight="1">
      <c r="A39" s="51"/>
      <c r="B39" s="19" t="s">
        <v>40</v>
      </c>
      <c r="C39" s="20">
        <v>45000</v>
      </c>
      <c r="D39" s="20">
        <f t="shared" si="1"/>
        <v>49500.000000000007</v>
      </c>
      <c r="E39" s="21">
        <v>40000</v>
      </c>
      <c r="F39" s="22">
        <f t="shared" si="0"/>
        <v>44000</v>
      </c>
    </row>
    <row r="40" spans="1:6" s="5" customFormat="1" ht="22.5" customHeight="1">
      <c r="A40" s="51"/>
      <c r="B40" s="19" t="s">
        <v>41</v>
      </c>
      <c r="C40" s="20">
        <v>45000</v>
      </c>
      <c r="D40" s="20">
        <f t="shared" si="1"/>
        <v>49500.000000000007</v>
      </c>
      <c r="E40" s="21">
        <v>40000</v>
      </c>
      <c r="F40" s="22">
        <f t="shared" si="0"/>
        <v>44000</v>
      </c>
    </row>
    <row r="41" spans="1:6" s="5" customFormat="1" ht="22.5" customHeight="1">
      <c r="A41" s="51"/>
      <c r="B41" s="23" t="s">
        <v>42</v>
      </c>
      <c r="C41" s="24">
        <v>55000</v>
      </c>
      <c r="D41" s="24">
        <f t="shared" si="1"/>
        <v>60500.000000000007</v>
      </c>
      <c r="E41" s="25">
        <v>50000</v>
      </c>
      <c r="F41" s="26">
        <f t="shared" si="0"/>
        <v>55000.000000000007</v>
      </c>
    </row>
    <row r="42" spans="1:6" s="5" customFormat="1" ht="22.5" customHeight="1">
      <c r="A42" s="51"/>
      <c r="B42" s="23" t="s">
        <v>51</v>
      </c>
      <c r="C42" s="24">
        <v>18000</v>
      </c>
      <c r="D42" s="24">
        <f t="shared" si="1"/>
        <v>19800</v>
      </c>
      <c r="E42" s="25">
        <v>16000</v>
      </c>
      <c r="F42" s="26">
        <f t="shared" si="0"/>
        <v>17600</v>
      </c>
    </row>
    <row r="43" spans="1:6" s="5" customFormat="1" ht="22.5" customHeight="1">
      <c r="A43" s="51"/>
      <c r="B43" s="23" t="s">
        <v>52</v>
      </c>
      <c r="C43" s="24">
        <v>18000</v>
      </c>
      <c r="D43" s="24">
        <f t="shared" si="1"/>
        <v>19800</v>
      </c>
      <c r="E43" s="25">
        <v>16000</v>
      </c>
      <c r="F43" s="26">
        <f t="shared" si="0"/>
        <v>17600</v>
      </c>
    </row>
    <row r="44" spans="1:6" s="5" customFormat="1" ht="22.5" customHeight="1">
      <c r="A44" s="51"/>
      <c r="B44" s="23" t="s">
        <v>50</v>
      </c>
      <c r="C44" s="24">
        <v>45000</v>
      </c>
      <c r="D44" s="24">
        <f t="shared" si="1"/>
        <v>49500.000000000007</v>
      </c>
      <c r="E44" s="25">
        <v>41000</v>
      </c>
      <c r="F44" s="26">
        <f t="shared" si="0"/>
        <v>45100.000000000007</v>
      </c>
    </row>
    <row r="45" spans="1:6" s="5" customFormat="1" ht="22.5" customHeight="1">
      <c r="A45" s="51"/>
      <c r="B45" s="23" t="s">
        <v>37</v>
      </c>
      <c r="C45" s="24">
        <v>22000</v>
      </c>
      <c r="D45" s="24">
        <f t="shared" si="1"/>
        <v>24200.000000000004</v>
      </c>
      <c r="E45" s="25">
        <v>20000</v>
      </c>
      <c r="F45" s="26">
        <f t="shared" si="0"/>
        <v>22000</v>
      </c>
    </row>
    <row r="46" spans="1:6" s="5" customFormat="1" ht="22.5" customHeight="1">
      <c r="A46" s="51"/>
      <c r="B46" s="23" t="s">
        <v>53</v>
      </c>
      <c r="C46" s="24">
        <v>25000</v>
      </c>
      <c r="D46" s="24">
        <f t="shared" si="1"/>
        <v>27500.000000000004</v>
      </c>
      <c r="E46" s="25">
        <v>23000</v>
      </c>
      <c r="F46" s="26">
        <f t="shared" si="0"/>
        <v>25300.000000000004</v>
      </c>
    </row>
    <row r="47" spans="1:6" s="5" customFormat="1" ht="22.5" customHeight="1">
      <c r="A47" s="51"/>
      <c r="B47" s="23" t="s">
        <v>54</v>
      </c>
      <c r="C47" s="24">
        <v>25000</v>
      </c>
      <c r="D47" s="24">
        <f t="shared" ref="D47" si="8">C47*1.1</f>
        <v>27500.000000000004</v>
      </c>
      <c r="E47" s="42">
        <v>23000</v>
      </c>
      <c r="F47" s="26">
        <f t="shared" si="0"/>
        <v>25300.000000000004</v>
      </c>
    </row>
    <row r="48" spans="1:6" s="5" customFormat="1" ht="22.5" customHeight="1">
      <c r="A48" s="51"/>
      <c r="B48" s="23" t="s">
        <v>38</v>
      </c>
      <c r="C48" s="24">
        <v>22000</v>
      </c>
      <c r="D48" s="24">
        <f t="shared" ref="D48" si="9">C48*1.1</f>
        <v>24200.000000000004</v>
      </c>
      <c r="E48" s="42">
        <v>20000</v>
      </c>
      <c r="F48" s="26">
        <f t="shared" si="0"/>
        <v>22000</v>
      </c>
    </row>
    <row r="49" spans="1:6" s="5" customFormat="1" ht="22.5" customHeight="1" thickBot="1">
      <c r="A49" s="51"/>
      <c r="B49" s="27"/>
      <c r="C49" s="28"/>
      <c r="D49" s="28"/>
      <c r="E49" s="29"/>
      <c r="F49" s="30">
        <f t="shared" si="0"/>
        <v>0</v>
      </c>
    </row>
    <row r="50" spans="1:6" s="5" customFormat="1" ht="22.5" customHeight="1">
      <c r="A50" s="50" t="s">
        <v>28</v>
      </c>
      <c r="B50" s="15" t="s">
        <v>2</v>
      </c>
      <c r="C50" s="16">
        <v>7000</v>
      </c>
      <c r="D50" s="16">
        <f t="shared" si="1"/>
        <v>7700.0000000000009</v>
      </c>
      <c r="E50" s="17">
        <v>6000</v>
      </c>
      <c r="F50" s="18">
        <f t="shared" si="0"/>
        <v>6600.0000000000009</v>
      </c>
    </row>
    <row r="51" spans="1:6" s="5" customFormat="1" ht="22.5" customHeight="1">
      <c r="A51" s="51"/>
      <c r="B51" s="35" t="s">
        <v>25</v>
      </c>
      <c r="C51" s="20">
        <v>10000</v>
      </c>
      <c r="D51" s="20">
        <f t="shared" si="1"/>
        <v>11000</v>
      </c>
      <c r="E51" s="21">
        <v>9000</v>
      </c>
      <c r="F51" s="22">
        <f t="shared" si="0"/>
        <v>9900</v>
      </c>
    </row>
    <row r="52" spans="1:6" s="5" customFormat="1" ht="22.5" customHeight="1">
      <c r="A52" s="51"/>
      <c r="B52" s="19" t="s">
        <v>3</v>
      </c>
      <c r="C52" s="20">
        <v>9000</v>
      </c>
      <c r="D52" s="20">
        <f t="shared" si="1"/>
        <v>9900</v>
      </c>
      <c r="E52" s="21">
        <v>8000</v>
      </c>
      <c r="F52" s="22">
        <f t="shared" si="0"/>
        <v>8800</v>
      </c>
    </row>
    <row r="53" spans="1:6" s="5" customFormat="1" ht="22.5" customHeight="1">
      <c r="A53" s="51"/>
      <c r="B53" s="19" t="s">
        <v>56</v>
      </c>
      <c r="C53" s="20">
        <v>13000</v>
      </c>
      <c r="D53" s="20">
        <f t="shared" si="1"/>
        <v>14300.000000000002</v>
      </c>
      <c r="E53" s="21">
        <v>11000</v>
      </c>
      <c r="F53" s="22">
        <f t="shared" si="0"/>
        <v>12100.000000000002</v>
      </c>
    </row>
    <row r="54" spans="1:6" s="5" customFormat="1" ht="22.5" customHeight="1">
      <c r="A54" s="51"/>
      <c r="B54" s="19" t="s">
        <v>5</v>
      </c>
      <c r="C54" s="20">
        <v>9000</v>
      </c>
      <c r="D54" s="20">
        <f t="shared" si="1"/>
        <v>9900</v>
      </c>
      <c r="E54" s="21">
        <v>8000</v>
      </c>
      <c r="F54" s="22">
        <f t="shared" si="0"/>
        <v>8800</v>
      </c>
    </row>
    <row r="55" spans="1:6" s="5" customFormat="1" ht="22.5" customHeight="1">
      <c r="A55" s="51"/>
      <c r="B55" s="19" t="s">
        <v>6</v>
      </c>
      <c r="C55" s="20">
        <v>13000</v>
      </c>
      <c r="D55" s="20">
        <f t="shared" si="1"/>
        <v>14300.000000000002</v>
      </c>
      <c r="E55" s="21">
        <v>11000</v>
      </c>
      <c r="F55" s="22">
        <f t="shared" si="0"/>
        <v>12100.000000000002</v>
      </c>
    </row>
    <row r="56" spans="1:6" s="5" customFormat="1" ht="22.5" customHeight="1">
      <c r="A56" s="51"/>
      <c r="B56" s="23" t="s">
        <v>4</v>
      </c>
      <c r="C56" s="24">
        <v>12000</v>
      </c>
      <c r="D56" s="24">
        <f t="shared" si="1"/>
        <v>13200.000000000002</v>
      </c>
      <c r="E56" s="25">
        <v>10000</v>
      </c>
      <c r="F56" s="26">
        <f t="shared" si="0"/>
        <v>11000</v>
      </c>
    </row>
    <row r="57" spans="1:6" s="5" customFormat="1" ht="22.5" customHeight="1">
      <c r="A57" s="51"/>
      <c r="B57" s="23" t="s">
        <v>7</v>
      </c>
      <c r="C57" s="24">
        <v>15000</v>
      </c>
      <c r="D57" s="24">
        <f t="shared" si="1"/>
        <v>16500</v>
      </c>
      <c r="E57" s="25">
        <v>13000</v>
      </c>
      <c r="F57" s="26">
        <f t="shared" si="0"/>
        <v>14300.000000000002</v>
      </c>
    </row>
    <row r="58" spans="1:6" s="5" customFormat="1" ht="22.5" customHeight="1">
      <c r="A58" s="51"/>
      <c r="B58" s="19" t="s">
        <v>8</v>
      </c>
      <c r="C58" s="20">
        <v>15000</v>
      </c>
      <c r="D58" s="20">
        <f t="shared" si="1"/>
        <v>16500</v>
      </c>
      <c r="E58" s="21">
        <v>12000</v>
      </c>
      <c r="F58" s="22">
        <f t="shared" si="0"/>
        <v>13200.000000000002</v>
      </c>
    </row>
    <row r="59" spans="1:6" s="5" customFormat="1" ht="22.5" customHeight="1">
      <c r="A59" s="51"/>
      <c r="B59" s="19" t="s">
        <v>9</v>
      </c>
      <c r="C59" s="20">
        <v>17000</v>
      </c>
      <c r="D59" s="20">
        <f t="shared" si="1"/>
        <v>18700</v>
      </c>
      <c r="E59" s="21">
        <v>15000</v>
      </c>
      <c r="F59" s="22">
        <f t="shared" si="0"/>
        <v>16500</v>
      </c>
    </row>
    <row r="60" spans="1:6" s="5" customFormat="1" ht="22.5" customHeight="1">
      <c r="A60" s="51"/>
      <c r="B60" s="27" t="s">
        <v>10</v>
      </c>
      <c r="C60" s="20">
        <v>15000</v>
      </c>
      <c r="D60" s="20">
        <f t="shared" si="1"/>
        <v>16500</v>
      </c>
      <c r="E60" s="21">
        <v>13000</v>
      </c>
      <c r="F60" s="22">
        <f t="shared" si="0"/>
        <v>14300.000000000002</v>
      </c>
    </row>
    <row r="61" spans="1:6" s="5" customFormat="1" ht="22.5" customHeight="1">
      <c r="A61" s="51"/>
      <c r="B61" s="19" t="s">
        <v>11</v>
      </c>
      <c r="C61" s="20">
        <v>17000</v>
      </c>
      <c r="D61" s="20">
        <f t="shared" si="1"/>
        <v>18700</v>
      </c>
      <c r="E61" s="21">
        <v>15000</v>
      </c>
      <c r="F61" s="22">
        <f t="shared" si="0"/>
        <v>16500</v>
      </c>
    </row>
    <row r="62" spans="1:6" s="5" customFormat="1" ht="22.5" customHeight="1">
      <c r="A62" s="51"/>
      <c r="B62" s="39" t="s">
        <v>13</v>
      </c>
      <c r="C62" s="24">
        <v>17000</v>
      </c>
      <c r="D62" s="24">
        <f t="shared" si="1"/>
        <v>18700</v>
      </c>
      <c r="E62" s="25">
        <v>15000</v>
      </c>
      <c r="F62" s="26">
        <f t="shared" si="0"/>
        <v>16500</v>
      </c>
    </row>
    <row r="63" spans="1:6" s="5" customFormat="1" ht="22.5" customHeight="1">
      <c r="A63" s="51"/>
      <c r="B63" s="23" t="s">
        <v>12</v>
      </c>
      <c r="C63" s="24">
        <v>18000</v>
      </c>
      <c r="D63" s="24">
        <f t="shared" si="1"/>
        <v>19800</v>
      </c>
      <c r="E63" s="25">
        <v>16000</v>
      </c>
      <c r="F63" s="26">
        <f t="shared" si="0"/>
        <v>17600</v>
      </c>
    </row>
    <row r="64" spans="1:6" s="5" customFormat="1" ht="22.5" customHeight="1">
      <c r="A64" s="51"/>
      <c r="B64" s="27"/>
      <c r="C64" s="28"/>
      <c r="D64" s="20"/>
      <c r="E64" s="29"/>
      <c r="F64" s="22">
        <f t="shared" si="0"/>
        <v>0</v>
      </c>
    </row>
    <row r="65" spans="1:6" s="5" customFormat="1" ht="22.5" customHeight="1" thickBot="1">
      <c r="A65" s="52"/>
      <c r="B65" s="31" t="s">
        <v>66</v>
      </c>
      <c r="C65" s="32"/>
      <c r="D65" s="20"/>
      <c r="E65" s="29"/>
      <c r="F65" s="34">
        <f t="shared" si="0"/>
        <v>0</v>
      </c>
    </row>
    <row r="66" spans="1:6" s="1" customFormat="1" ht="51.75" customHeight="1" thickBot="1">
      <c r="A66" s="47" t="s">
        <v>65</v>
      </c>
      <c r="B66" s="48"/>
      <c r="C66" s="48"/>
      <c r="D66" s="48"/>
      <c r="E66" s="48"/>
      <c r="F66" s="49"/>
    </row>
  </sheetData>
  <mergeCells count="6">
    <mergeCell ref="A1:F1"/>
    <mergeCell ref="A66:F66"/>
    <mergeCell ref="A4:A16"/>
    <mergeCell ref="A50:A65"/>
    <mergeCell ref="A29:A49"/>
    <mergeCell ref="A17:A28"/>
  </mergeCells>
  <phoneticPr fontId="2" type="noConversion"/>
  <conditionalFormatting sqref="B65 B17">
    <cfRule type="duplicateValues" dxfId="7" priority="10"/>
  </conditionalFormatting>
  <conditionalFormatting sqref="B36">
    <cfRule type="duplicateValues" dxfId="6" priority="12"/>
  </conditionalFormatting>
  <conditionalFormatting sqref="B38:B42 B44">
    <cfRule type="duplicateValues" dxfId="5" priority="13"/>
  </conditionalFormatting>
  <conditionalFormatting sqref="B45">
    <cfRule type="duplicateValues" dxfId="4" priority="14"/>
  </conditionalFormatting>
  <conditionalFormatting sqref="B44">
    <cfRule type="duplicateValues" dxfId="3" priority="4"/>
  </conditionalFormatting>
  <conditionalFormatting sqref="B37">
    <cfRule type="duplicateValues" dxfId="2" priority="3"/>
  </conditionalFormatting>
  <conditionalFormatting sqref="B43">
    <cfRule type="duplicateValues" dxfId="1" priority="2"/>
  </conditionalFormatting>
  <conditionalFormatting sqref="B43">
    <cfRule type="duplicateValues" dxfId="0" priority="1"/>
  </conditionalFormatting>
  <pageMargins left="0.23622047244094491" right="0.23622047244094491" top="0.15748031496062992" bottom="0.51181102362204722" header="0.47244094488188981" footer="0.51181102362204722"/>
  <pageSetup paperSize="9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재생토너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eun</dc:creator>
  <cp:lastModifiedBy>main</cp:lastModifiedBy>
  <cp:lastPrinted>2022-09-02T06:57:51Z</cp:lastPrinted>
  <dcterms:created xsi:type="dcterms:W3CDTF">2009-09-07T04:01:33Z</dcterms:created>
  <dcterms:modified xsi:type="dcterms:W3CDTF">2022-11-01T06:34:55Z</dcterms:modified>
</cp:coreProperties>
</file>